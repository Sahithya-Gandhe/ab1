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COMPANY\GYWD\FINANCIAL MODEL\"/>
    </mc:Choice>
  </mc:AlternateContent>
  <xr:revisionPtr revIDLastSave="0" documentId="13_ncr:1_{4046DD10-8C11-4271-9313-017B83DA643E}" xr6:coauthVersionLast="47" xr6:coauthVersionMax="47" xr10:uidLastSave="{00000000-0000-0000-0000-000000000000}"/>
  <bookViews>
    <workbookView xWindow="-98" yWindow="-98" windowWidth="24196" windowHeight="14476" activeTab="2" xr2:uid="{052DF110-77A3-40E9-9219-15F350A3297E}"/>
  </bookViews>
  <sheets>
    <sheet name="HPCL" sheetId="2" r:id="rId1"/>
    <sheet name="Rice Millers" sheetId="1" r:id="rId2"/>
    <sheet name="Supply Curve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3" i="3" l="1"/>
  <c r="C22" i="3"/>
  <c r="C21" i="3"/>
  <c r="C20" i="3"/>
  <c r="C19" i="3"/>
  <c r="L18" i="3"/>
  <c r="C18" i="3"/>
  <c r="C17" i="3"/>
  <c r="C16" i="3"/>
  <c r="C15" i="3"/>
  <c r="C14" i="3"/>
  <c r="C13" i="3"/>
  <c r="C12" i="3"/>
  <c r="C11" i="3"/>
  <c r="C10" i="3"/>
  <c r="C9" i="3"/>
  <c r="L8" i="3"/>
  <c r="K8" i="3"/>
  <c r="J8" i="3"/>
  <c r="I8" i="3"/>
  <c r="C8" i="3"/>
  <c r="L7" i="3"/>
  <c r="C7" i="3"/>
  <c r="L6" i="3"/>
  <c r="H6" i="3"/>
  <c r="H5" i="3" s="1"/>
  <c r="H4" i="3" s="1"/>
  <c r="H3" i="3" s="1"/>
  <c r="H2" i="3" s="1"/>
  <c r="C6" i="3"/>
  <c r="L5" i="3"/>
  <c r="C5" i="3"/>
  <c r="L4" i="3"/>
  <c r="C4" i="3"/>
  <c r="A4" i="3"/>
  <c r="L3" i="3"/>
  <c r="C3" i="3"/>
  <c r="Q4" i="3" s="1"/>
  <c r="A3" i="3"/>
  <c r="L2" i="3"/>
  <c r="C2" i="3"/>
  <c r="D3" i="3" l="1"/>
  <c r="E3" i="3" s="1"/>
  <c r="D2" i="3"/>
  <c r="E2" i="3" s="1"/>
  <c r="Q5" i="3"/>
  <c r="D4" i="3"/>
  <c r="E4" i="3" s="1"/>
  <c r="A5" i="3"/>
  <c r="D5" i="3" l="1"/>
  <c r="E5" i="3" s="1"/>
  <c r="A6" i="3"/>
  <c r="D6" i="3" l="1"/>
  <c r="E6" i="3" s="1"/>
  <c r="A7" i="3"/>
  <c r="A8" i="3" l="1"/>
  <c r="D7" i="3"/>
  <c r="E7" i="3" s="1"/>
  <c r="K15" i="3" l="1"/>
  <c r="D8" i="3"/>
  <c r="E8" i="3" s="1"/>
  <c r="A9" i="3"/>
  <c r="A10" i="3" l="1"/>
  <c r="D9" i="3"/>
  <c r="E9" i="3" s="1"/>
  <c r="K16" i="3" s="1"/>
  <c r="K17" i="3" s="1"/>
  <c r="A11" i="3" l="1"/>
  <c r="D10" i="3"/>
  <c r="E10" i="3" s="1"/>
  <c r="F10" i="3" s="1"/>
  <c r="D11" i="3" l="1"/>
  <c r="E11" i="3" s="1"/>
  <c r="F11" i="3" s="1"/>
  <c r="A12" i="3"/>
  <c r="A13" i="3" l="1"/>
  <c r="D12" i="3"/>
  <c r="E12" i="3" s="1"/>
  <c r="F12" i="3" s="1"/>
  <c r="A14" i="3" l="1"/>
  <c r="D13" i="3"/>
  <c r="E13" i="3" s="1"/>
  <c r="F13" i="3" s="1"/>
  <c r="D14" i="3" l="1"/>
  <c r="E14" i="3" s="1"/>
  <c r="F14" i="3" s="1"/>
  <c r="A15" i="3"/>
  <c r="D15" i="3" l="1"/>
  <c r="E15" i="3" s="1"/>
  <c r="F15" i="3" s="1"/>
  <c r="A16" i="3"/>
  <c r="A17" i="3" l="1"/>
  <c r="D16" i="3"/>
  <c r="E16" i="3" s="1"/>
  <c r="F16" i="3" s="1"/>
  <c r="A18" i="3" l="1"/>
  <c r="D17" i="3"/>
  <c r="E17" i="3" s="1"/>
  <c r="F17" i="3" s="1"/>
  <c r="D18" i="3" l="1"/>
  <c r="E18" i="3" s="1"/>
  <c r="F18" i="3" s="1"/>
  <c r="A19" i="3"/>
  <c r="A20" i="3" l="1"/>
  <c r="D19" i="3"/>
  <c r="E19" i="3" s="1"/>
  <c r="F19" i="3" s="1"/>
  <c r="A21" i="3" l="1"/>
  <c r="D20" i="3"/>
  <c r="E20" i="3" s="1"/>
  <c r="F20" i="3" s="1"/>
  <c r="D21" i="3" l="1"/>
  <c r="E21" i="3" s="1"/>
  <c r="F21" i="3" s="1"/>
  <c r="A22" i="3"/>
  <c r="D22" i="3" l="1"/>
  <c r="E22" i="3" s="1"/>
  <c r="F22" i="3" s="1"/>
  <c r="P3" i="3"/>
  <c r="P2" i="3"/>
  <c r="I11" i="3"/>
  <c r="I12" i="3" l="1"/>
  <c r="I13" i="3"/>
  <c r="Q3" i="3" l="1"/>
  <c r="Q2" i="3"/>
  <c r="G25" i="3"/>
  <c r="G6" i="3"/>
  <c r="P4" i="3"/>
  <c r="P5" i="3"/>
  <c r="F4" i="3"/>
  <c r="F3" i="3"/>
  <c r="F2" i="3"/>
  <c r="F5" i="3"/>
  <c r="F6" i="3"/>
  <c r="F7" i="3"/>
  <c r="F8" i="3"/>
  <c r="F9" i="3"/>
  <c r="D22" i="2" l="1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O8" i="2"/>
  <c r="N8" i="2"/>
  <c r="M8" i="2"/>
  <c r="D8" i="2"/>
  <c r="P7" i="2"/>
  <c r="D7" i="2"/>
  <c r="P6" i="2"/>
  <c r="D6" i="2"/>
  <c r="P5" i="2"/>
  <c r="D5" i="2"/>
  <c r="P4" i="2"/>
  <c r="D4" i="2"/>
  <c r="P3" i="2"/>
  <c r="D3" i="2"/>
  <c r="P2" i="2"/>
  <c r="L2" i="2"/>
  <c r="L3" i="2" s="1"/>
  <c r="L4" i="2" s="1"/>
  <c r="L5" i="2" s="1"/>
  <c r="L6" i="2" s="1"/>
  <c r="L7" i="2" s="1"/>
  <c r="D2" i="2"/>
  <c r="A2" i="2"/>
  <c r="N23" i="1"/>
  <c r="P23" i="1" s="1"/>
  <c r="C22" i="1"/>
  <c r="P21" i="1"/>
  <c r="P22" i="1" s="1"/>
  <c r="N21" i="1"/>
  <c r="C21" i="1"/>
  <c r="C20" i="1"/>
  <c r="P19" i="1"/>
  <c r="P20" i="1" s="1"/>
  <c r="N19" i="1"/>
  <c r="C19" i="1"/>
  <c r="C18" i="1"/>
  <c r="C17" i="1"/>
  <c r="C16" i="1"/>
  <c r="C15" i="1"/>
  <c r="C14" i="1"/>
  <c r="C13" i="1"/>
  <c r="C12" i="1"/>
  <c r="C11" i="1"/>
  <c r="C10" i="1"/>
  <c r="C9" i="1"/>
  <c r="L8" i="1"/>
  <c r="K8" i="1"/>
  <c r="J8" i="1"/>
  <c r="C8" i="1"/>
  <c r="M7" i="1"/>
  <c r="C7" i="1"/>
  <c r="M6" i="1"/>
  <c r="C6" i="1"/>
  <c r="M5" i="1"/>
  <c r="C5" i="1"/>
  <c r="M4" i="1"/>
  <c r="C4" i="1"/>
  <c r="M3" i="1"/>
  <c r="C3" i="1"/>
  <c r="M2" i="1"/>
  <c r="M8" i="1" s="1"/>
  <c r="I2" i="1"/>
  <c r="C2" i="1"/>
  <c r="A2" i="1"/>
  <c r="G2" i="2" l="1"/>
  <c r="H2" i="2" s="1"/>
  <c r="P8" i="2"/>
  <c r="A3" i="2"/>
  <c r="R23" i="1"/>
  <c r="P24" i="1"/>
  <c r="Q21" i="1"/>
  <c r="I3" i="1"/>
  <c r="I4" i="1" s="1"/>
  <c r="I5" i="1" s="1"/>
  <c r="I6" i="1" s="1"/>
  <c r="I7" i="1" s="1"/>
  <c r="A3" i="1"/>
  <c r="Q23" i="1"/>
  <c r="D2" i="1"/>
  <c r="E2" i="1" s="1"/>
  <c r="G3" i="2" l="1"/>
  <c r="H3" i="2" s="1"/>
  <c r="A4" i="2"/>
  <c r="D3" i="1"/>
  <c r="E3" i="1" s="1"/>
  <c r="A4" i="1"/>
  <c r="G4" i="2" l="1"/>
  <c r="H4" i="2" s="1"/>
  <c r="A5" i="2"/>
  <c r="D4" i="1"/>
  <c r="E4" i="1" s="1"/>
  <c r="A5" i="1"/>
  <c r="G5" i="2" l="1"/>
  <c r="H5" i="2" s="1"/>
  <c r="A6" i="2"/>
  <c r="D5" i="1"/>
  <c r="E5" i="1" s="1"/>
  <c r="A6" i="1"/>
  <c r="G6" i="2" l="1"/>
  <c r="H6" i="2" s="1"/>
  <c r="A7" i="2"/>
  <c r="D6" i="1"/>
  <c r="E6" i="1" s="1"/>
  <c r="A7" i="1"/>
  <c r="G7" i="2" l="1"/>
  <c r="H7" i="2" s="1"/>
  <c r="A8" i="2"/>
  <c r="D7" i="1"/>
  <c r="E7" i="1" s="1"/>
  <c r="A8" i="1"/>
  <c r="A9" i="2" l="1"/>
  <c r="G8" i="2"/>
  <c r="H8" i="2" s="1"/>
  <c r="A9" i="1"/>
  <c r="D8" i="1"/>
  <c r="E8" i="1" s="1"/>
  <c r="F7" i="1"/>
  <c r="G7" i="1"/>
  <c r="A10" i="2" l="1"/>
  <c r="G9" i="2"/>
  <c r="H9" i="2" s="1"/>
  <c r="F8" i="1"/>
  <c r="G8" i="1"/>
  <c r="D9" i="1"/>
  <c r="E9" i="1" s="1"/>
  <c r="A10" i="1"/>
  <c r="G10" i="2" l="1"/>
  <c r="H10" i="2" s="1"/>
  <c r="A11" i="2"/>
  <c r="G9" i="1"/>
  <c r="F9" i="1"/>
  <c r="D10" i="1"/>
  <c r="E10" i="1" s="1"/>
  <c r="A11" i="1"/>
  <c r="G11" i="2" l="1"/>
  <c r="H11" i="2" s="1"/>
  <c r="A12" i="2"/>
  <c r="F10" i="1"/>
  <c r="G10" i="1"/>
  <c r="A12" i="1"/>
  <c r="D11" i="1"/>
  <c r="E11" i="1" s="1"/>
  <c r="A13" i="2" l="1"/>
  <c r="G12" i="2"/>
  <c r="H12" i="2" s="1"/>
  <c r="G11" i="1"/>
  <c r="F11" i="1"/>
  <c r="A13" i="1"/>
  <c r="D12" i="1"/>
  <c r="E12" i="1" s="1"/>
  <c r="A14" i="2" l="1"/>
  <c r="G13" i="2"/>
  <c r="H13" i="2" s="1"/>
  <c r="D13" i="1"/>
  <c r="E13" i="1" s="1"/>
  <c r="A14" i="1"/>
  <c r="G12" i="1"/>
  <c r="F12" i="1"/>
  <c r="A15" i="2" l="1"/>
  <c r="G14" i="2"/>
  <c r="H14" i="2" s="1"/>
  <c r="D14" i="1"/>
  <c r="E14" i="1" s="1"/>
  <c r="A15" i="1"/>
  <c r="G13" i="1"/>
  <c r="F13" i="1"/>
  <c r="G15" i="2" l="1"/>
  <c r="H15" i="2" s="1"/>
  <c r="A16" i="2"/>
  <c r="A16" i="1"/>
  <c r="D15" i="1"/>
  <c r="E15" i="1" s="1"/>
  <c r="F14" i="1"/>
  <c r="G14" i="1"/>
  <c r="J15" i="2" l="1"/>
  <c r="I15" i="2"/>
  <c r="G16" i="2"/>
  <c r="H16" i="2" s="1"/>
  <c r="A17" i="2"/>
  <c r="G15" i="1"/>
  <c r="F15" i="1"/>
  <c r="A17" i="1"/>
  <c r="D16" i="1"/>
  <c r="E16" i="1" s="1"/>
  <c r="J16" i="2" l="1"/>
  <c r="I16" i="2"/>
  <c r="A18" i="2"/>
  <c r="G17" i="2"/>
  <c r="H17" i="2" s="1"/>
  <c r="G16" i="1"/>
  <c r="F16" i="1"/>
  <c r="D17" i="1"/>
  <c r="E17" i="1" s="1"/>
  <c r="A18" i="1"/>
  <c r="J17" i="2" l="1"/>
  <c r="I17" i="2"/>
  <c r="A19" i="2"/>
  <c r="G18" i="2"/>
  <c r="H18" i="2" s="1"/>
  <c r="D18" i="1"/>
  <c r="E18" i="1" s="1"/>
  <c r="A19" i="1"/>
  <c r="G17" i="1"/>
  <c r="F17" i="1"/>
  <c r="A20" i="2" l="1"/>
  <c r="G19" i="2"/>
  <c r="H19" i="2" s="1"/>
  <c r="J18" i="2"/>
  <c r="I18" i="2"/>
  <c r="D19" i="1"/>
  <c r="E19" i="1" s="1"/>
  <c r="A20" i="1"/>
  <c r="F18" i="1"/>
  <c r="G18" i="1"/>
  <c r="J19" i="2" l="1"/>
  <c r="I19" i="2"/>
  <c r="G20" i="2"/>
  <c r="H20" i="2" s="1"/>
  <c r="A21" i="2"/>
  <c r="D20" i="1"/>
  <c r="E20" i="1" s="1"/>
  <c r="A21" i="1"/>
  <c r="G19" i="1"/>
  <c r="F19" i="1"/>
  <c r="G21" i="2" l="1"/>
  <c r="H21" i="2" s="1"/>
  <c r="A22" i="2"/>
  <c r="J20" i="2"/>
  <c r="I20" i="2"/>
  <c r="D21" i="1"/>
  <c r="E21" i="1" s="1"/>
  <c r="A22" i="1"/>
  <c r="G20" i="1"/>
  <c r="F20" i="1"/>
  <c r="G22" i="2" l="1"/>
  <c r="H22" i="2" s="1"/>
  <c r="O15" i="2"/>
  <c r="O18" i="2"/>
  <c r="J21" i="2"/>
  <c r="I21" i="2"/>
  <c r="D22" i="1"/>
  <c r="E22" i="1" s="1"/>
  <c r="D31" i="1"/>
  <c r="D28" i="1"/>
  <c r="I24" i="1"/>
  <c r="G21" i="1"/>
  <c r="F21" i="1"/>
  <c r="J22" i="2" l="1"/>
  <c r="I22" i="2"/>
  <c r="D29" i="1"/>
  <c r="G22" i="1"/>
  <c r="F22" i="1"/>
  <c r="F2" i="1" l="1"/>
  <c r="G2" i="1"/>
  <c r="F3" i="1"/>
  <c r="G3" i="1"/>
  <c r="G4" i="1"/>
  <c r="F4" i="1"/>
  <c r="G5" i="1"/>
  <c r="F5" i="1"/>
  <c r="F6" i="1"/>
  <c r="G6" i="1"/>
  <c r="D30" i="1"/>
  <c r="A24" i="1" l="1" a="1"/>
  <c r="A24" i="1" s="1"/>
  <c r="A25" i="1" a="1"/>
  <c r="A25" i="1" s="1"/>
  <c r="G23" i="1"/>
  <c r="G26" i="1" a="1"/>
  <c r="G26" i="1" s="1"/>
  <c r="G27" i="1" s="1" a="1"/>
  <c r="G27" i="1" s="1"/>
  <c r="G24" i="1" a="1"/>
  <c r="G24" i="1" s="1"/>
  <c r="G25" i="1" s="1" a="1"/>
  <c r="G25" i="1" s="1"/>
  <c r="F23" i="1"/>
  <c r="O16" i="2"/>
  <c r="I13" i="2" l="1"/>
  <c r="J14" i="2"/>
  <c r="I14" i="2"/>
  <c r="J2" i="2"/>
  <c r="J13" i="2"/>
  <c r="J4" i="2"/>
  <c r="J5" i="2"/>
  <c r="J9" i="2"/>
  <c r="J8" i="2"/>
  <c r="J10" i="2"/>
  <c r="I4" i="2"/>
  <c r="I5" i="2"/>
  <c r="J7" i="2"/>
  <c r="J6" i="2"/>
  <c r="I11" i="2"/>
  <c r="J3" i="2"/>
  <c r="I10" i="2"/>
  <c r="I6" i="2"/>
  <c r="J12" i="2"/>
  <c r="I7" i="2"/>
  <c r="I8" i="2"/>
  <c r="I12" i="2"/>
  <c r="O17" i="2"/>
  <c r="J11" i="2"/>
  <c r="I9" i="2"/>
  <c r="I2" i="2"/>
  <c r="I3" i="2"/>
  <c r="I23" i="2" l="1"/>
  <c r="J23" i="2"/>
</calcChain>
</file>

<file path=xl/sharedStrings.xml><?xml version="1.0" encoding="utf-8"?>
<sst xmlns="http://schemas.openxmlformats.org/spreadsheetml/2006/main" count="94" uniqueCount="53">
  <si>
    <t>Price (₹/Kg)</t>
  </si>
  <si>
    <t>Seller Quantity (MT)</t>
  </si>
  <si>
    <t>Cumulative Supply (MT)</t>
  </si>
  <si>
    <t>Cumulative Demand (MT)</t>
  </si>
  <si>
    <t>Gap (Supply - Demand)</t>
  </si>
  <si>
    <t>Trade Value In Rs</t>
  </si>
  <si>
    <t>Truthfull Price Bonus in Rs</t>
  </si>
  <si>
    <t>Buyer 1 (MT)</t>
  </si>
  <si>
    <t>Buyer 2 (MT)</t>
  </si>
  <si>
    <t>Buyer 3 (MT)</t>
  </si>
  <si>
    <t>Total Demand (MT)</t>
  </si>
  <si>
    <t>OPAQUE PRICING</t>
  </si>
  <si>
    <t xml:space="preserve">REVENUE MODEL OBJECTIVE </t>
  </si>
  <si>
    <t>Total</t>
  </si>
  <si>
    <t>Median</t>
  </si>
  <si>
    <t>Median Value</t>
  </si>
  <si>
    <t>Avg</t>
  </si>
  <si>
    <t>Per MT Median</t>
  </si>
  <si>
    <t>Average Value</t>
  </si>
  <si>
    <t>Clearing Info</t>
  </si>
  <si>
    <t>Per MT Avg</t>
  </si>
  <si>
    <t>Clearing Row (or NO_CROSS)</t>
  </si>
  <si>
    <t>Clearing Price (₹/Kg)</t>
  </si>
  <si>
    <t>Clearing Quantity (MT)</t>
  </si>
  <si>
    <t>Pricing for ethanol factories</t>
  </si>
  <si>
    <t>Price Gap</t>
  </si>
  <si>
    <t>0-20000 MTs</t>
  </si>
  <si>
    <t>Spread Commission %</t>
  </si>
  <si>
    <t>20001-50000</t>
  </si>
  <si>
    <t>50001-above</t>
  </si>
  <si>
    <t>Max  Price by Buyer</t>
  </si>
  <si>
    <t>Min Price by Seller</t>
  </si>
  <si>
    <t>Tick Size</t>
  </si>
  <si>
    <t>Paisa</t>
  </si>
  <si>
    <t>AUCTION OBJECTIVE: TRUTHFULL BIDDING</t>
  </si>
  <si>
    <t>7000</t>
  </si>
  <si>
    <t>Column1</t>
  </si>
  <si>
    <t>100- rice mill -1
50- rice mill-2
50 rice mill-3</t>
  </si>
  <si>
    <t>Column2</t>
  </si>
  <si>
    <t>Column3</t>
  </si>
  <si>
    <t>100-buyer-1
300 buyer-2
200 buyer-3</t>
  </si>
  <si>
    <t>Price (₹/MT)</t>
  </si>
  <si>
    <t>Description</t>
  </si>
  <si>
    <t>Quantity (MT)</t>
  </si>
  <si>
    <t>Horizontal Start</t>
  </si>
  <si>
    <t>Horizontal End</t>
  </si>
  <si>
    <t>Vertical Start</t>
  </si>
  <si>
    <t>Vertical End</t>
  </si>
  <si>
    <t>Clearing Price (₹/MT)</t>
  </si>
  <si>
    <t>INDEX(A:A,I11-1)+((INDEX(A:A,I11)-INDEX(A:A,I11-1))*((0-INDEX(E:E,I11-1))/(INDEX(E:E,I11)-INDEX(E:E,I11-1)</t>
  </si>
  <si>
    <t>row 8</t>
  </si>
  <si>
    <t>Row9</t>
  </si>
  <si>
    <t>23.1 + (ABS(-600)/(ABS(-600)+900))*(23.2-23.1)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</si>
</sst>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0" xfId="0" applyFont="1" applyAlignment="1">
      <alignment wrapText="1"/>
    </xf>
    <xf numFmtId="0" fontId="5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2" fontId="0" fillId="0" borderId="0" xfId="0" applyNumberFormat="1"/>
    <xf numFmtId="164" fontId="0" fillId="0" borderId="0" xfId="1" applyNumberFormat="1" applyFont="1"/>
    <xf numFmtId="43" fontId="0" fillId="0" borderId="0" xfId="1" applyFont="1"/>
    <xf numFmtId="43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2" fillId="0" borderId="0" xfId="0" applyFont="1"/>
    <xf numFmtId="1" fontId="0" fillId="2" borderId="0" xfId="0" applyNumberFormat="1" applyFill="1"/>
    <xf numFmtId="9" fontId="0" fillId="0" borderId="0" xfId="0" applyNumberFormat="1"/>
    <xf numFmtId="10" fontId="0" fillId="0" borderId="0" xfId="0" applyNumberFormat="1"/>
    <xf numFmtId="164" fontId="0" fillId="0" borderId="0" xfId="1" applyNumberFormat="1" applyFont="1" applyFill="1" applyBorder="1"/>
    <xf numFmtId="0" fontId="0" fillId="0" borderId="1" xfId="0" applyBorder="1"/>
    <xf numFmtId="164" fontId="0" fillId="0" borderId="1" xfId="1" applyNumberFormat="1" applyFont="1" applyBorder="1"/>
    <xf numFmtId="10" fontId="0" fillId="3" borderId="1" xfId="0" applyNumberFormat="1" applyFill="1" applyBorder="1"/>
    <xf numFmtId="164" fontId="0" fillId="0" borderId="1" xfId="0" applyNumberFormat="1" applyBorder="1"/>
    <xf numFmtId="164" fontId="0" fillId="0" borderId="0" xfId="1" applyNumberFormat="1" applyFont="1" applyAlignment="1">
      <alignment wrapText="1"/>
    </xf>
    <xf numFmtId="0" fontId="0" fillId="0" borderId="2" xfId="0" applyBorder="1"/>
    <xf numFmtId="164" fontId="0" fillId="0" borderId="2" xfId="0" applyNumberFormat="1" applyBorder="1"/>
    <xf numFmtId="10" fontId="0" fillId="0" borderId="0" xfId="2" applyNumberFormat="1" applyFont="1" applyFill="1" applyBorder="1"/>
    <xf numFmtId="0" fontId="0" fillId="0" borderId="0" xfId="0" applyAlignment="1">
      <alignment horizontal="center"/>
    </xf>
    <xf numFmtId="164" fontId="0" fillId="0" borderId="0" xfId="1" applyNumberFormat="1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1" fontId="7" fillId="0" borderId="0" xfId="0" applyNumberFormat="1" applyFont="1" applyAlignment="1">
      <alignment vertical="center" wrapText="1"/>
    </xf>
  </cellXfs>
  <cellStyles count="3">
    <cellStyle name="Comma" xfId="1" builtinId="3"/>
    <cellStyle name="Normal" xfId="0" builtinId="0"/>
    <cellStyle name="Percent" xfId="2" builtinId="5"/>
  </cellStyles>
  <dxfs count="23">
    <dxf>
      <numFmt numFmtId="0" formatCode="General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Cumulative Supply vs Demand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'Supply Curve'!$C$1</c:f>
              <c:strCache>
                <c:ptCount val="1"/>
                <c:pt idx="0">
                  <c:v>Cumulative Supply (MT)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'Supply Curve'!$A$2:$A$23</c:f>
              <c:strCache>
                <c:ptCount val="22"/>
                <c:pt idx="0">
                  <c:v>22.50</c:v>
                </c:pt>
                <c:pt idx="1">
                  <c:v>22.60</c:v>
                </c:pt>
                <c:pt idx="2">
                  <c:v>22.70</c:v>
                </c:pt>
                <c:pt idx="3">
                  <c:v>22.80</c:v>
                </c:pt>
                <c:pt idx="4">
                  <c:v>22.90</c:v>
                </c:pt>
                <c:pt idx="5">
                  <c:v>23.00</c:v>
                </c:pt>
                <c:pt idx="6">
                  <c:v>23.10</c:v>
                </c:pt>
                <c:pt idx="7">
                  <c:v>23.20</c:v>
                </c:pt>
                <c:pt idx="8">
                  <c:v>23.30</c:v>
                </c:pt>
                <c:pt idx="9">
                  <c:v>23.40</c:v>
                </c:pt>
                <c:pt idx="10">
                  <c:v>23.50</c:v>
                </c:pt>
                <c:pt idx="11">
                  <c:v>23.60</c:v>
                </c:pt>
                <c:pt idx="12">
                  <c:v>23.70</c:v>
                </c:pt>
                <c:pt idx="13">
                  <c:v>23.80</c:v>
                </c:pt>
                <c:pt idx="14">
                  <c:v>23.90</c:v>
                </c:pt>
                <c:pt idx="15">
                  <c:v>24.00</c:v>
                </c:pt>
                <c:pt idx="16">
                  <c:v>24.10</c:v>
                </c:pt>
                <c:pt idx="17">
                  <c:v>24.20</c:v>
                </c:pt>
                <c:pt idx="18">
                  <c:v>24.30</c:v>
                </c:pt>
                <c:pt idx="19">
                  <c:v>24.40</c:v>
                </c:pt>
                <c:pt idx="20">
                  <c:v>24.50</c:v>
                </c:pt>
                <c:pt idx="21">
                  <c:v>Total</c:v>
                </c:pt>
              </c:strCache>
            </c:strRef>
          </c:cat>
          <c:val>
            <c:numRef>
              <c:f>'Supply Curve'!$C$2:$C$23</c:f>
              <c:numCache>
                <c:formatCode>General</c:formatCode>
                <c:ptCount val="22"/>
                <c:pt idx="0">
                  <c:v>200</c:v>
                </c:pt>
                <c:pt idx="1">
                  <c:v>500</c:v>
                </c:pt>
                <c:pt idx="2">
                  <c:v>900</c:v>
                </c:pt>
                <c:pt idx="3">
                  <c:v>1500</c:v>
                </c:pt>
                <c:pt idx="4">
                  <c:v>2000</c:v>
                </c:pt>
                <c:pt idx="5">
                  <c:v>2300</c:v>
                </c:pt>
                <c:pt idx="6">
                  <c:v>2500</c:v>
                </c:pt>
                <c:pt idx="7">
                  <c:v>3100</c:v>
                </c:pt>
                <c:pt idx="8">
                  <c:v>3300</c:v>
                </c:pt>
                <c:pt idx="9">
                  <c:v>3600</c:v>
                </c:pt>
                <c:pt idx="10">
                  <c:v>4000</c:v>
                </c:pt>
                <c:pt idx="11">
                  <c:v>4300</c:v>
                </c:pt>
                <c:pt idx="12">
                  <c:v>4500</c:v>
                </c:pt>
                <c:pt idx="13">
                  <c:v>5000</c:v>
                </c:pt>
                <c:pt idx="14">
                  <c:v>5600</c:v>
                </c:pt>
                <c:pt idx="15">
                  <c:v>6000</c:v>
                </c:pt>
                <c:pt idx="16">
                  <c:v>6300</c:v>
                </c:pt>
                <c:pt idx="17">
                  <c:v>6500</c:v>
                </c:pt>
                <c:pt idx="18">
                  <c:v>6600</c:v>
                </c:pt>
                <c:pt idx="19">
                  <c:v>6800</c:v>
                </c:pt>
                <c:pt idx="20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3B-4A5C-B712-5B82E9CDF4BD}"/>
            </c:ext>
          </c:extLst>
        </c:ser>
        <c:ser>
          <c:idx val="1"/>
          <c:order val="1"/>
          <c:tx>
            <c:strRef>
              <c:f>'Supply Curve'!$D$1</c:f>
              <c:strCache>
                <c:ptCount val="1"/>
                <c:pt idx="0">
                  <c:v>Cumulative Demand (MT)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'Supply Curve'!$A$2:$A$23</c:f>
              <c:strCache>
                <c:ptCount val="22"/>
                <c:pt idx="0">
                  <c:v>22.50</c:v>
                </c:pt>
                <c:pt idx="1">
                  <c:v>22.60</c:v>
                </c:pt>
                <c:pt idx="2">
                  <c:v>22.70</c:v>
                </c:pt>
                <c:pt idx="3">
                  <c:v>22.80</c:v>
                </c:pt>
                <c:pt idx="4">
                  <c:v>22.90</c:v>
                </c:pt>
                <c:pt idx="5">
                  <c:v>23.00</c:v>
                </c:pt>
                <c:pt idx="6">
                  <c:v>23.10</c:v>
                </c:pt>
                <c:pt idx="7">
                  <c:v>23.20</c:v>
                </c:pt>
                <c:pt idx="8">
                  <c:v>23.30</c:v>
                </c:pt>
                <c:pt idx="9">
                  <c:v>23.40</c:v>
                </c:pt>
                <c:pt idx="10">
                  <c:v>23.50</c:v>
                </c:pt>
                <c:pt idx="11">
                  <c:v>23.60</c:v>
                </c:pt>
                <c:pt idx="12">
                  <c:v>23.70</c:v>
                </c:pt>
                <c:pt idx="13">
                  <c:v>23.80</c:v>
                </c:pt>
                <c:pt idx="14">
                  <c:v>23.90</c:v>
                </c:pt>
                <c:pt idx="15">
                  <c:v>24.00</c:v>
                </c:pt>
                <c:pt idx="16">
                  <c:v>24.10</c:v>
                </c:pt>
                <c:pt idx="17">
                  <c:v>24.20</c:v>
                </c:pt>
                <c:pt idx="18">
                  <c:v>24.30</c:v>
                </c:pt>
                <c:pt idx="19">
                  <c:v>24.40</c:v>
                </c:pt>
                <c:pt idx="20">
                  <c:v>24.50</c:v>
                </c:pt>
                <c:pt idx="21">
                  <c:v>Total</c:v>
                </c:pt>
              </c:strCache>
            </c:strRef>
          </c:cat>
          <c:val>
            <c:numRef>
              <c:f>'Supply Curve'!$D$2:$D$23</c:f>
              <c:numCache>
                <c:formatCode>General</c:formatCode>
                <c:ptCount val="22"/>
                <c:pt idx="0">
                  <c:v>6100</c:v>
                </c:pt>
                <c:pt idx="1">
                  <c:v>6000</c:v>
                </c:pt>
                <c:pt idx="2">
                  <c:v>6000</c:v>
                </c:pt>
                <c:pt idx="3">
                  <c:v>5100</c:v>
                </c:pt>
                <c:pt idx="4">
                  <c:v>5100</c:v>
                </c:pt>
                <c:pt idx="5">
                  <c:v>4200</c:v>
                </c:pt>
                <c:pt idx="6">
                  <c:v>4200</c:v>
                </c:pt>
                <c:pt idx="7">
                  <c:v>3300</c:v>
                </c:pt>
                <c:pt idx="8">
                  <c:v>3300</c:v>
                </c:pt>
                <c:pt idx="9">
                  <c:v>2000</c:v>
                </c:pt>
                <c:pt idx="10">
                  <c:v>2000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3B-4A5C-B712-5B82E9CDF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Price (₹/MT)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Quantity (MT)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57151</xdr:colOff>
      <xdr:row>27</xdr:row>
      <xdr:rowOff>119063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5DF113-EFBB-4E62-B300-D0277876E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COMPANY\GYWD\PITCH%20DECK\Altiberg%20Revenue%20Model\Revenue%20Model_2nd%20Price%20auction_031125.xlsx" TargetMode="External"/><Relationship Id="rId1" Type="http://schemas.openxmlformats.org/officeDocument/2006/relationships/externalLinkPath" Target="/COMPANY/GYWD/PITCH%20DECK/Altiberg%20Revenue%20Model/Revenue%20Model_2nd%20Price%20auction_0311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pply Curve (3)"/>
      <sheetName val="Supply Curve (2)"/>
      <sheetName val="Supply Curve"/>
    </sheetNames>
    <sheetDataSet>
      <sheetData sheetId="0"/>
      <sheetData sheetId="1"/>
      <sheetData sheetId="2">
        <row r="1">
          <cell r="C1" t="str">
            <v>Cumulative Supply (MT)</v>
          </cell>
          <cell r="D1" t="str">
            <v>Cumulative Demand (MT)</v>
          </cell>
        </row>
        <row r="2">
          <cell r="A2">
            <v>22.5</v>
          </cell>
          <cell r="C2">
            <v>200</v>
          </cell>
          <cell r="D2">
            <v>6100</v>
          </cell>
        </row>
        <row r="3">
          <cell r="A3">
            <v>22.6</v>
          </cell>
          <cell r="C3">
            <v>500</v>
          </cell>
          <cell r="D3">
            <v>6000</v>
          </cell>
        </row>
        <row r="4">
          <cell r="A4">
            <v>22.700000000000003</v>
          </cell>
          <cell r="C4">
            <v>900</v>
          </cell>
          <cell r="D4">
            <v>6000</v>
          </cell>
        </row>
        <row r="5">
          <cell r="A5">
            <v>22.800000000000004</v>
          </cell>
          <cell r="C5">
            <v>1500</v>
          </cell>
          <cell r="D5">
            <v>5100</v>
          </cell>
        </row>
        <row r="6">
          <cell r="A6">
            <v>22.900000000000006</v>
          </cell>
          <cell r="C6">
            <v>2000</v>
          </cell>
          <cell r="D6">
            <v>5100</v>
          </cell>
        </row>
        <row r="7">
          <cell r="A7">
            <v>23.000000000000007</v>
          </cell>
          <cell r="C7">
            <v>2300</v>
          </cell>
          <cell r="D7">
            <v>4200</v>
          </cell>
        </row>
        <row r="8">
          <cell r="A8">
            <v>23.100000000000009</v>
          </cell>
          <cell r="C8">
            <v>2500</v>
          </cell>
          <cell r="D8">
            <v>4200</v>
          </cell>
        </row>
        <row r="9">
          <cell r="A9">
            <v>23.20000000000001</v>
          </cell>
          <cell r="C9">
            <v>3100</v>
          </cell>
          <cell r="D9">
            <v>3300</v>
          </cell>
        </row>
        <row r="10">
          <cell r="A10">
            <v>23.300000000000011</v>
          </cell>
          <cell r="C10">
            <v>3300</v>
          </cell>
          <cell r="D10">
            <v>3300</v>
          </cell>
        </row>
        <row r="11">
          <cell r="A11">
            <v>23.400000000000013</v>
          </cell>
          <cell r="C11">
            <v>3600</v>
          </cell>
          <cell r="D11">
            <v>2000</v>
          </cell>
        </row>
        <row r="12">
          <cell r="A12">
            <v>23.500000000000014</v>
          </cell>
          <cell r="C12">
            <v>4000</v>
          </cell>
          <cell r="D12">
            <v>2000</v>
          </cell>
        </row>
        <row r="13">
          <cell r="A13">
            <v>23.600000000000016</v>
          </cell>
          <cell r="C13">
            <v>4300</v>
          </cell>
          <cell r="D13">
            <v>0</v>
          </cell>
        </row>
        <row r="14">
          <cell r="A14">
            <v>23.700000000000017</v>
          </cell>
          <cell r="C14">
            <v>4500</v>
          </cell>
          <cell r="D14">
            <v>0</v>
          </cell>
        </row>
        <row r="15">
          <cell r="A15">
            <v>23.800000000000018</v>
          </cell>
          <cell r="C15">
            <v>5000</v>
          </cell>
          <cell r="D15">
            <v>0</v>
          </cell>
        </row>
        <row r="16">
          <cell r="A16">
            <v>23.90000000000002</v>
          </cell>
          <cell r="C16">
            <v>5600</v>
          </cell>
          <cell r="D16">
            <v>0</v>
          </cell>
        </row>
        <row r="17">
          <cell r="A17">
            <v>24.000000000000021</v>
          </cell>
          <cell r="C17">
            <v>6000</v>
          </cell>
          <cell r="D17">
            <v>0</v>
          </cell>
        </row>
        <row r="18">
          <cell r="A18">
            <v>24.100000000000023</v>
          </cell>
          <cell r="C18">
            <v>6300</v>
          </cell>
          <cell r="D18">
            <v>0</v>
          </cell>
        </row>
        <row r="19">
          <cell r="A19">
            <v>24.200000000000024</v>
          </cell>
          <cell r="C19">
            <v>6500</v>
          </cell>
          <cell r="D19">
            <v>0</v>
          </cell>
        </row>
        <row r="20">
          <cell r="A20">
            <v>24.300000000000026</v>
          </cell>
          <cell r="C20">
            <v>6600</v>
          </cell>
          <cell r="D20">
            <v>0</v>
          </cell>
        </row>
        <row r="21">
          <cell r="A21">
            <v>24.400000000000027</v>
          </cell>
          <cell r="C21">
            <v>6800</v>
          </cell>
          <cell r="D21">
            <v>0</v>
          </cell>
        </row>
        <row r="22">
          <cell r="A22">
            <v>24.500000000000028</v>
          </cell>
          <cell r="C22">
            <v>7000</v>
          </cell>
          <cell r="D22">
            <v>0</v>
          </cell>
        </row>
        <row r="23">
          <cell r="A23" t="str">
            <v>Total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9DA8CB-EA86-44A3-907E-9C166B345CB2}" name="MarketEquilibrium4346" displayName="MarketEquilibrium4346" ref="A1:J23" totalsRowCount="1">
  <tableColumns count="10">
    <tableColumn id="1" xr3:uid="{5998A42F-8B33-483E-B8FA-BE7E7BA728A5}" name="Price (₹/Kg)" totalsRowLabel="Total" dataDxfId="22" totalsRowDxfId="21"/>
    <tableColumn id="2" xr3:uid="{17646ACE-FEBA-46FA-B867-768A376E31F6}" name="Seller Quantity (MT)" totalsRowLabel="7000" dataDxfId="20" totalsRowDxfId="19"/>
    <tableColumn id="7" xr3:uid="{A163F3E1-45B6-403E-9AE0-BFA65326109D}" name="Column1" dataDxfId="18" totalsRowDxfId="17"/>
    <tableColumn id="3" xr3:uid="{94F44361-AA60-4072-A29B-7613AD85880D}" name="Cumulative Supply (MT)" dataDxfId="16" totalsRowDxfId="15">
      <calculatedColumnFormula>SUM($B$2:B2)</calculatedColumnFormula>
    </tableColumn>
    <tableColumn id="9" xr3:uid="{FEF408B9-4ACA-4B6D-A219-6620B9B32574}" name="Column2" dataDxfId="14" totalsRowDxfId="13"/>
    <tableColumn id="10" xr3:uid="{0B76BEB1-9DA3-4756-841A-F7EAD23C4E37}" name="Column3" dataDxfId="12" totalsRowDxfId="11"/>
    <tableColumn id="4" xr3:uid="{5892B478-9F6D-42B0-AFF9-D6C1EEE61D16}" name="Cumulative Demand (MT)" dataDxfId="10" totalsRowDxfId="9">
      <calculatedColumnFormula>SUMIFS($P$2:$P$7, $L$2:$L$7, "&gt;=" &amp; A2)</calculatedColumnFormula>
    </tableColumn>
    <tableColumn id="5" xr3:uid="{D1CBB700-0BF0-49F9-95D9-5E81596867BE}" name="Gap (Supply - Demand)">
      <calculatedColumnFormula>D2-G2</calculatedColumnFormula>
    </tableColumn>
    <tableColumn id="8" xr3:uid="{41479D19-2D07-4CF4-807F-A355D04923B6}" name="Trade Value In Rs" totalsRowFunction="custom" dataDxfId="8" totalsRowDxfId="7" dataCellStyle="Comma">
      <calculatedColumnFormula>ROUND(IF(H2&lt;0,B2*$O$16*1000,0),0)</calculatedColumnFormula>
      <totalsRowFormula>SUM(I2:I22)</totalsRowFormula>
    </tableColumn>
    <tableColumn id="6" xr3:uid="{80ED9E9C-C188-432C-A2E4-9844E4D012A6}" name="Truthfull Price Bonus in Rs" totalsRowFunction="custom" dataDxfId="6" totalsRowDxfId="5" dataCellStyle="Comma">
      <calculatedColumnFormula>ROUND(IF(H2&lt;0,($O$16-A2)*B2*1000,0),0)</calculatedColumnFormula>
      <totalsRowFormula>SUM(J2:J22)</totalsRow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47C453-516B-4B89-B3D5-C1196DAAD3A4}" name="MarketEquilibrium434" displayName="MarketEquilibrium434" ref="A1:G23" totalsRowCount="1">
  <autoFilter ref="A1:G22" xr:uid="{00000000-0009-0000-0100-000001000000}"/>
  <tableColumns count="7">
    <tableColumn id="1" xr3:uid="{67D9E52C-A07E-4519-98ED-3CE46D3A961D}" name="Price (₹/Kg)" totalsRowLabel="Total"/>
    <tableColumn id="2" xr3:uid="{40B3C874-7B60-4292-B5FF-45D8643981F0}" name="Seller Quantity (MT)"/>
    <tableColumn id="3" xr3:uid="{B4FF5093-1DC8-41BA-AF56-5CC33D1ECF48}" name="Cumulative Supply (MT)">
      <calculatedColumnFormula>SUM($B$2:B2)</calculatedColumnFormula>
    </tableColumn>
    <tableColumn id="4" xr3:uid="{B8989072-CACA-479A-A579-C4606B212FE2}" name="Cumulative Demand (MT)">
      <calculatedColumnFormula>SUMIFS($M$2:$M$7, $I$2:$I$7, "&gt;=" &amp; A2)</calculatedColumnFormula>
    </tableColumn>
    <tableColumn id="5" xr3:uid="{AE49F00D-16A5-4CFD-A9FF-BF0555A40550}" name="Gap (Supply - Demand)">
      <calculatedColumnFormula>C2-D2</calculatedColumnFormula>
    </tableColumn>
    <tableColumn id="8" xr3:uid="{2E722D4D-F2D8-487F-B7AA-49394C0F5774}" name="Trade Value In Rs" totalsRowFunction="custom" dataDxfId="4" totalsRowDxfId="3" dataCellStyle="Comma">
      <calculatedColumnFormula>ROUND(IF(E2&lt;0,B2*$D$29*1000,0),0)</calculatedColumnFormula>
      <totalsRowFormula>SUM(F2:F22)</totalsRowFormula>
    </tableColumn>
    <tableColumn id="6" xr3:uid="{6E018C12-F133-4A98-84EE-EE50C3D21747}" name="Truthfull Price Bonus in Rs" totalsRowFunction="custom" dataDxfId="2" totalsRowDxfId="1" dataCellStyle="Comma">
      <calculatedColumnFormula>ROUND(IF(E2&lt;0,($D$29-A2)*B2*1000,0),0)</calculatedColumnFormula>
      <totalsRowFormula>SUM(G2:G22)</totalsRow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0B2DEE-1D13-456D-94AD-CD11AB421AC9}" name="MarketEquilibrium" displayName="MarketEquilibrium" ref="A1:F23">
  <autoFilter ref="A1:F23" xr:uid="{00000000-0009-0000-0100-000001000000}"/>
  <tableColumns count="6">
    <tableColumn id="1" xr3:uid="{3DD798E7-F6A4-47F9-9DEF-0951FA29AF5B}" name="Price (₹/MT)"/>
    <tableColumn id="2" xr3:uid="{037D34DB-4818-49EF-869D-79A624CAD721}" name="Seller Quantity (MT)"/>
    <tableColumn id="3" xr3:uid="{304D0DB2-2D90-4553-AB3D-8B29A7CAAF50}" name="Cumulative Supply (MT)"/>
    <tableColumn id="4" xr3:uid="{582C42D6-A401-4EC2-B37B-A3F00ABFDABF}" name="Cumulative Demand (MT)"/>
    <tableColumn id="5" xr3:uid="{41A2BB45-E307-4481-A39F-589BF73740DD}" name="Gap (Supply - Demand)"/>
    <tableColumn id="6" xr3:uid="{F835093F-BB84-4704-B333-A90E11A62879}" name="Column1" dataDxfId="0">
      <calculatedColumnFormula>IF(E2&lt;0,($I$12-A2)*B2*1000*$I$15,0)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191AF-1476-437E-91B9-CA076B72AC81}">
  <dimension ref="A1:V49"/>
  <sheetViews>
    <sheetView workbookViewId="0">
      <selection activeCell="J26" sqref="J26"/>
    </sheetView>
  </sheetViews>
  <sheetFormatPr defaultRowHeight="14.25"/>
  <cols>
    <col min="1" max="1" width="10.73046875" customWidth="1"/>
    <col min="2" max="3" width="10.1328125" customWidth="1"/>
    <col min="4" max="6" width="12.86328125" customWidth="1"/>
    <col min="8" max="8" width="7" customWidth="1"/>
    <col min="9" max="9" width="13.86328125" customWidth="1"/>
    <col min="10" max="10" width="10.53125" customWidth="1"/>
    <col min="11" max="11" width="9.9296875" customWidth="1"/>
    <col min="12" max="12" width="8.9296875" customWidth="1"/>
    <col min="13" max="13" width="7.86328125" customWidth="1"/>
    <col min="14" max="14" width="10.796875" customWidth="1"/>
    <col min="15" max="15" width="8.59765625" customWidth="1"/>
    <col min="16" max="16" width="8.6640625" customWidth="1"/>
    <col min="17" max="18" width="12.06640625" bestFit="1" customWidth="1"/>
    <col min="19" max="19" width="16.06640625" bestFit="1" customWidth="1"/>
    <col min="20" max="20" width="16.6640625" bestFit="1" customWidth="1"/>
    <col min="21" max="21" width="13.59765625" bestFit="1" customWidth="1"/>
    <col min="22" max="22" width="18.19921875" customWidth="1"/>
    <col min="23" max="23" width="12.06640625" bestFit="1" customWidth="1"/>
  </cols>
  <sheetData>
    <row r="1" spans="1:17" s="5" customFormat="1" ht="53.65" customHeight="1">
      <c r="A1" s="1" t="s">
        <v>0</v>
      </c>
      <c r="B1" s="2" t="s">
        <v>1</v>
      </c>
      <c r="C1" s="2" t="s">
        <v>36</v>
      </c>
      <c r="D1" s="2" t="s">
        <v>2</v>
      </c>
      <c r="E1" s="37" t="s">
        <v>38</v>
      </c>
      <c r="F1" s="37" t="s">
        <v>39</v>
      </c>
      <c r="G1" s="3" t="s">
        <v>3</v>
      </c>
      <c r="H1" s="4" t="s">
        <v>4</v>
      </c>
      <c r="I1" s="3" t="s">
        <v>5</v>
      </c>
      <c r="J1" s="3" t="s">
        <v>6</v>
      </c>
      <c r="L1" s="31" t="s">
        <v>0</v>
      </c>
      <c r="M1" s="31" t="s">
        <v>7</v>
      </c>
      <c r="N1" s="31" t="s">
        <v>8</v>
      </c>
      <c r="O1" s="31" t="s">
        <v>9</v>
      </c>
      <c r="P1" s="31" t="s">
        <v>10</v>
      </c>
      <c r="Q1" s="6"/>
    </row>
    <row r="2" spans="1:17">
      <c r="A2" s="32">
        <f>O22</f>
        <v>21</v>
      </c>
      <c r="B2" s="33">
        <v>200</v>
      </c>
      <c r="C2" s="33"/>
      <c r="D2" s="33">
        <f>SUM($B$2:B2)</f>
        <v>200</v>
      </c>
      <c r="E2" s="33"/>
      <c r="F2" s="33"/>
      <c r="G2" s="33">
        <f t="shared" ref="G2:G22" si="0">SUMIFS($P$2:$P$7, $L$2:$L$7, "&gt;=" &amp; A2)</f>
        <v>5000</v>
      </c>
      <c r="H2">
        <f t="shared" ref="H2:H22" si="1">D2-G2</f>
        <v>-4800</v>
      </c>
      <c r="I2" s="8">
        <f t="shared" ref="I2:I22" si="2">ROUND(IF(H2&lt;0,B2*$O$16*1000,0),0)</f>
        <v>4674286</v>
      </c>
      <c r="J2" s="8">
        <f t="shared" ref="J2:J22" si="3">ROUND(IF(H2&lt;0,($O$16-A2)*B2*1000,0),0)</f>
        <v>474286</v>
      </c>
      <c r="L2" s="34">
        <f>O21</f>
        <v>24</v>
      </c>
      <c r="M2" s="35">
        <v>300</v>
      </c>
      <c r="N2" s="35">
        <v>300</v>
      </c>
      <c r="O2" s="35">
        <v>300</v>
      </c>
      <c r="P2" s="35">
        <f t="shared" ref="P2:P7" si="4">IFERROR(M2+N2+O2,0)</f>
        <v>900</v>
      </c>
      <c r="Q2" s="8"/>
    </row>
    <row r="3" spans="1:17">
      <c r="A3" s="32">
        <f t="shared" ref="A3:A22" si="5">A2+$O$23/100</f>
        <v>21.2</v>
      </c>
      <c r="B3" s="33">
        <v>300</v>
      </c>
      <c r="C3" s="33"/>
      <c r="D3" s="33">
        <f>SUM($B$2:B3)</f>
        <v>500</v>
      </c>
      <c r="E3" s="33"/>
      <c r="F3" s="33"/>
      <c r="G3" s="33">
        <f t="shared" si="0"/>
        <v>5000</v>
      </c>
      <c r="H3">
        <f t="shared" si="1"/>
        <v>-4500</v>
      </c>
      <c r="I3" s="8">
        <f t="shared" si="2"/>
        <v>7011429</v>
      </c>
      <c r="J3" s="8">
        <f t="shared" si="3"/>
        <v>651429</v>
      </c>
      <c r="L3" s="34">
        <f>L2-$O$23/100</f>
        <v>23.8</v>
      </c>
      <c r="M3" s="35">
        <v>500</v>
      </c>
      <c r="N3" s="35">
        <v>500</v>
      </c>
      <c r="O3" s="35">
        <v>300</v>
      </c>
      <c r="P3" s="35">
        <f t="shared" si="4"/>
        <v>1300</v>
      </c>
      <c r="Q3" s="8"/>
    </row>
    <row r="4" spans="1:17">
      <c r="A4" s="32">
        <f t="shared" si="5"/>
        <v>21.4</v>
      </c>
      <c r="B4" s="33">
        <v>400</v>
      </c>
      <c r="C4" s="33"/>
      <c r="D4" s="33">
        <f>SUM($B$2:B4)</f>
        <v>900</v>
      </c>
      <c r="E4" s="33"/>
      <c r="F4" s="33"/>
      <c r="G4" s="33">
        <f t="shared" si="0"/>
        <v>5000</v>
      </c>
      <c r="H4">
        <f t="shared" si="1"/>
        <v>-4100</v>
      </c>
      <c r="I4" s="8">
        <f t="shared" si="2"/>
        <v>9348571</v>
      </c>
      <c r="J4" s="8">
        <f t="shared" si="3"/>
        <v>788571</v>
      </c>
      <c r="L4" s="34">
        <f>L3-$O$23/100</f>
        <v>23.6</v>
      </c>
      <c r="M4" s="35">
        <v>400</v>
      </c>
      <c r="N4" s="35">
        <v>300</v>
      </c>
      <c r="O4" s="35">
        <v>500</v>
      </c>
      <c r="P4" s="35">
        <f t="shared" si="4"/>
        <v>1200</v>
      </c>
      <c r="Q4" s="8"/>
    </row>
    <row r="5" spans="1:17">
      <c r="A5" s="32">
        <f t="shared" si="5"/>
        <v>21.599999999999998</v>
      </c>
      <c r="B5" s="33">
        <v>600</v>
      </c>
      <c r="C5" s="33"/>
      <c r="D5" s="33">
        <f>SUM($B$2:B5)</f>
        <v>1500</v>
      </c>
      <c r="E5" s="33"/>
      <c r="F5" s="33"/>
      <c r="G5" s="33">
        <f t="shared" si="0"/>
        <v>5000</v>
      </c>
      <c r="H5">
        <f t="shared" si="1"/>
        <v>-3500</v>
      </c>
      <c r="I5" s="8">
        <f t="shared" si="2"/>
        <v>14022857</v>
      </c>
      <c r="J5" s="8">
        <f t="shared" si="3"/>
        <v>1062857</v>
      </c>
      <c r="L5" s="34">
        <f>L4-$O$23/100</f>
        <v>23.400000000000002</v>
      </c>
      <c r="M5" s="35">
        <v>500</v>
      </c>
      <c r="N5" s="35">
        <v>300</v>
      </c>
      <c r="O5" s="35">
        <v>200</v>
      </c>
      <c r="P5" s="35">
        <f t="shared" si="4"/>
        <v>1000</v>
      </c>
      <c r="Q5" s="8"/>
    </row>
    <row r="6" spans="1:17">
      <c r="A6" s="32">
        <f t="shared" si="5"/>
        <v>21.799999999999997</v>
      </c>
      <c r="B6" s="33">
        <v>500</v>
      </c>
      <c r="C6" s="33"/>
      <c r="D6" s="33">
        <f>SUM($B$2:B6)</f>
        <v>2000</v>
      </c>
      <c r="E6" s="33"/>
      <c r="F6" s="33"/>
      <c r="G6" s="33">
        <f t="shared" si="0"/>
        <v>5000</v>
      </c>
      <c r="H6">
        <f t="shared" si="1"/>
        <v>-3000</v>
      </c>
      <c r="I6" s="8">
        <f t="shared" si="2"/>
        <v>11685714</v>
      </c>
      <c r="J6" s="8">
        <f t="shared" si="3"/>
        <v>785714</v>
      </c>
      <c r="K6" s="7"/>
      <c r="L6" s="34">
        <f>L5-$O$23/100</f>
        <v>23.200000000000003</v>
      </c>
      <c r="M6" s="35">
        <v>200</v>
      </c>
      <c r="N6" s="35">
        <v>100</v>
      </c>
      <c r="O6" s="35">
        <v>200</v>
      </c>
      <c r="P6" s="35">
        <f t="shared" si="4"/>
        <v>500</v>
      </c>
      <c r="Q6" s="8"/>
    </row>
    <row r="7" spans="1:17">
      <c r="A7" s="32">
        <f t="shared" si="5"/>
        <v>21.999999999999996</v>
      </c>
      <c r="B7" s="33">
        <v>300</v>
      </c>
      <c r="C7" s="33"/>
      <c r="D7" s="33">
        <f>SUM($B$2:B7)</f>
        <v>2300</v>
      </c>
      <c r="E7" s="33"/>
      <c r="F7" s="33"/>
      <c r="G7" s="33">
        <f t="shared" si="0"/>
        <v>5000</v>
      </c>
      <c r="H7">
        <f t="shared" si="1"/>
        <v>-2700</v>
      </c>
      <c r="I7" s="8">
        <f t="shared" si="2"/>
        <v>7011429</v>
      </c>
      <c r="J7" s="8">
        <f t="shared" si="3"/>
        <v>411429</v>
      </c>
      <c r="L7" s="34">
        <f>L6-$O$23/100</f>
        <v>23.000000000000004</v>
      </c>
      <c r="M7" s="35">
        <v>100</v>
      </c>
      <c r="N7" s="35">
        <v>0</v>
      </c>
      <c r="O7" s="35">
        <v>0</v>
      </c>
      <c r="P7" s="35">
        <f t="shared" si="4"/>
        <v>100</v>
      </c>
      <c r="Q7" s="8"/>
    </row>
    <row r="8" spans="1:17">
      <c r="A8" s="32">
        <f t="shared" si="5"/>
        <v>22.199999999999996</v>
      </c>
      <c r="B8" s="33">
        <v>200</v>
      </c>
      <c r="C8" s="33"/>
      <c r="D8" s="33">
        <f>SUM($B$2:B8)</f>
        <v>2500</v>
      </c>
      <c r="E8" s="33"/>
      <c r="F8" s="33"/>
      <c r="G8" s="33">
        <f t="shared" si="0"/>
        <v>5000</v>
      </c>
      <c r="H8">
        <f t="shared" si="1"/>
        <v>-2500</v>
      </c>
      <c r="I8" s="8">
        <f t="shared" si="2"/>
        <v>4674286</v>
      </c>
      <c r="J8" s="8">
        <f t="shared" si="3"/>
        <v>234286</v>
      </c>
      <c r="L8" s="35"/>
      <c r="M8" s="35">
        <f>SUM(M2:M7)</f>
        <v>2000</v>
      </c>
      <c r="N8" s="35">
        <f t="shared" ref="N8:O8" si="6">SUM(N2:N7)</f>
        <v>1500</v>
      </c>
      <c r="O8" s="35">
        <f t="shared" si="6"/>
        <v>1500</v>
      </c>
      <c r="P8" s="35">
        <f>SUM(P2:P7)</f>
        <v>5000</v>
      </c>
      <c r="Q8" s="8"/>
    </row>
    <row r="9" spans="1:17">
      <c r="A9" s="32">
        <f t="shared" si="5"/>
        <v>22.399999999999995</v>
      </c>
      <c r="B9" s="33">
        <v>600</v>
      </c>
      <c r="C9" s="33"/>
      <c r="D9" s="33">
        <f>SUM($B$2:B9)</f>
        <v>3100</v>
      </c>
      <c r="E9" s="33"/>
      <c r="F9" s="33"/>
      <c r="G9" s="33">
        <f t="shared" si="0"/>
        <v>5000</v>
      </c>
      <c r="H9">
        <f t="shared" si="1"/>
        <v>-1900</v>
      </c>
      <c r="I9" s="8">
        <f t="shared" si="2"/>
        <v>14022857</v>
      </c>
      <c r="J9" s="8">
        <f t="shared" si="3"/>
        <v>582857</v>
      </c>
    </row>
    <row r="10" spans="1:17">
      <c r="A10" s="32">
        <f t="shared" si="5"/>
        <v>22.599999999999994</v>
      </c>
      <c r="B10" s="33">
        <v>200</v>
      </c>
      <c r="C10" s="33"/>
      <c r="D10" s="33">
        <f>SUM($B$2:B10)</f>
        <v>3300</v>
      </c>
      <c r="E10" s="33"/>
      <c r="F10" s="33"/>
      <c r="G10" s="33">
        <f t="shared" si="0"/>
        <v>5000</v>
      </c>
      <c r="H10">
        <f t="shared" si="1"/>
        <v>-1700</v>
      </c>
      <c r="I10" s="8">
        <f t="shared" si="2"/>
        <v>4674286</v>
      </c>
      <c r="J10" s="8">
        <f t="shared" si="3"/>
        <v>154286</v>
      </c>
      <c r="Q10" s="7"/>
    </row>
    <row r="11" spans="1:17">
      <c r="A11" s="32">
        <f t="shared" si="5"/>
        <v>22.799999999999994</v>
      </c>
      <c r="B11" s="33">
        <v>300</v>
      </c>
      <c r="C11" s="33"/>
      <c r="D11" s="33">
        <f>SUM($B$2:B11)</f>
        <v>3600</v>
      </c>
      <c r="E11" s="33"/>
      <c r="F11" s="33"/>
      <c r="G11" s="33">
        <f t="shared" si="0"/>
        <v>5000</v>
      </c>
      <c r="H11">
        <f t="shared" si="1"/>
        <v>-1400</v>
      </c>
      <c r="I11" s="8">
        <f t="shared" si="2"/>
        <v>7011429</v>
      </c>
      <c r="J11" s="8">
        <f t="shared" si="3"/>
        <v>171429</v>
      </c>
      <c r="L11" t="s">
        <v>11</v>
      </c>
    </row>
    <row r="12" spans="1:17">
      <c r="A12" s="32">
        <f t="shared" si="5"/>
        <v>22.999999999999993</v>
      </c>
      <c r="B12" s="33">
        <v>400</v>
      </c>
      <c r="C12" s="33"/>
      <c r="D12" s="33">
        <f>SUM($B$2:B12)</f>
        <v>4000</v>
      </c>
      <c r="E12" s="33"/>
      <c r="F12" s="33"/>
      <c r="G12" s="33">
        <f t="shared" si="0"/>
        <v>5000</v>
      </c>
      <c r="H12">
        <f t="shared" si="1"/>
        <v>-1000</v>
      </c>
      <c r="I12" s="8">
        <f t="shared" si="2"/>
        <v>9348571</v>
      </c>
      <c r="J12" s="8">
        <f t="shared" si="3"/>
        <v>148571</v>
      </c>
      <c r="L12" t="s">
        <v>34</v>
      </c>
    </row>
    <row r="13" spans="1:17">
      <c r="A13" s="32">
        <f t="shared" si="5"/>
        <v>23.199999999999992</v>
      </c>
      <c r="B13" s="33">
        <v>300</v>
      </c>
      <c r="C13" s="33"/>
      <c r="D13" s="33">
        <f>SUM($B$2:B13)</f>
        <v>4300</v>
      </c>
      <c r="E13" s="33"/>
      <c r="F13" s="33"/>
      <c r="G13" s="33">
        <f t="shared" si="0"/>
        <v>4900</v>
      </c>
      <c r="H13">
        <f t="shared" si="1"/>
        <v>-600</v>
      </c>
      <c r="I13" s="8">
        <f t="shared" si="2"/>
        <v>7011429</v>
      </c>
      <c r="J13" s="8">
        <f t="shared" si="3"/>
        <v>51429</v>
      </c>
    </row>
    <row r="14" spans="1:17" ht="85.5">
      <c r="A14" s="32">
        <f t="shared" si="5"/>
        <v>23.399999999999991</v>
      </c>
      <c r="B14" s="33">
        <v>200</v>
      </c>
      <c r="C14" s="30" t="s">
        <v>37</v>
      </c>
      <c r="D14" s="33">
        <f>SUM($B$2:B14)</f>
        <v>4500</v>
      </c>
      <c r="E14" s="33">
        <v>600</v>
      </c>
      <c r="F14" s="30" t="s">
        <v>40</v>
      </c>
      <c r="G14" s="33">
        <f t="shared" si="0"/>
        <v>4400</v>
      </c>
      <c r="H14">
        <f t="shared" si="1"/>
        <v>100</v>
      </c>
      <c r="I14" s="8">
        <f t="shared" si="2"/>
        <v>0</v>
      </c>
      <c r="J14" s="8">
        <f t="shared" si="3"/>
        <v>0</v>
      </c>
      <c r="L14" t="s">
        <v>19</v>
      </c>
      <c r="M14" s="5"/>
    </row>
    <row r="15" spans="1:17">
      <c r="A15" s="32">
        <f t="shared" si="5"/>
        <v>23.599999999999991</v>
      </c>
      <c r="B15" s="33">
        <v>500</v>
      </c>
      <c r="C15" s="33"/>
      <c r="D15" s="33">
        <f>SUM($B$2:B15)</f>
        <v>5000</v>
      </c>
      <c r="E15" s="33"/>
      <c r="F15" s="33"/>
      <c r="G15" s="33">
        <f t="shared" si="0"/>
        <v>3400</v>
      </c>
      <c r="H15">
        <f t="shared" si="1"/>
        <v>1600</v>
      </c>
      <c r="I15" s="8">
        <f t="shared" si="2"/>
        <v>0</v>
      </c>
      <c r="J15" s="8">
        <f t="shared" si="3"/>
        <v>0</v>
      </c>
      <c r="L15" s="13" t="s">
        <v>21</v>
      </c>
      <c r="M15" s="13"/>
      <c r="N15" s="13"/>
      <c r="O15" s="13">
        <f>IF(MAX($L$2:$L$7) &lt; MIN($A$2:$A$22), "NO_CROSS",
    MATCH(TRUE,INDEX(H2:H22&gt;=0,0),0)+1 )</f>
        <v>14</v>
      </c>
    </row>
    <row r="16" spans="1:17">
      <c r="A16" s="32">
        <f t="shared" si="5"/>
        <v>23.79999999999999</v>
      </c>
      <c r="B16" s="33">
        <v>600</v>
      </c>
      <c r="C16" s="33"/>
      <c r="D16" s="33">
        <f>SUM($B$2:B16)</f>
        <v>5600</v>
      </c>
      <c r="E16" s="33"/>
      <c r="F16" s="33"/>
      <c r="G16" s="33">
        <f t="shared" si="0"/>
        <v>2200</v>
      </c>
      <c r="H16">
        <f t="shared" si="1"/>
        <v>3400</v>
      </c>
      <c r="I16" s="8">
        <f t="shared" si="2"/>
        <v>0</v>
      </c>
      <c r="J16" s="8">
        <f t="shared" si="3"/>
        <v>0</v>
      </c>
      <c r="L16" s="13" t="s">
        <v>22</v>
      </c>
      <c r="M16" s="13"/>
      <c r="N16" s="13"/>
      <c r="O16" s="14">
        <f>IF(O15="NO_CROSS","",
INDEX(A:A,O15-1)+((INDEX(A:A,O15)-INDEX(A:A,O15-1))*((0-INDEX(H:H,O15-1))/(INDEX(H:H,O15)-INDEX(H:H,O15-1)))))</f>
        <v>23.371428571428563</v>
      </c>
    </row>
    <row r="17" spans="1:21">
      <c r="A17" s="32">
        <f t="shared" si="5"/>
        <v>23.999999999999989</v>
      </c>
      <c r="B17" s="33">
        <v>400</v>
      </c>
      <c r="C17" s="33"/>
      <c r="D17" s="33">
        <f>SUM($B$2:B17)</f>
        <v>6000</v>
      </c>
      <c r="E17" s="33"/>
      <c r="F17" s="33"/>
      <c r="G17" s="33">
        <f t="shared" si="0"/>
        <v>900</v>
      </c>
      <c r="H17">
        <f t="shared" si="1"/>
        <v>5100</v>
      </c>
      <c r="I17" s="8">
        <f t="shared" si="2"/>
        <v>0</v>
      </c>
      <c r="J17" s="8">
        <f t="shared" si="3"/>
        <v>0</v>
      </c>
      <c r="L17" s="13" t="s">
        <v>23</v>
      </c>
      <c r="M17" s="13"/>
      <c r="N17" s="13"/>
      <c r="O17" s="16">
        <f>IF(O15="NO_CROSS","",
INDEX(D:D,O15-1)+((INDEX(D:D,O15)-INDEX(D:D,O15-1))*((O16-INDEX(A:A,O15-1))/(INDEX(A:A,O15)-INDEX(A:A,O15-1)))))</f>
        <v>4471.4285714285716</v>
      </c>
    </row>
    <row r="18" spans="1:21">
      <c r="A18" s="32">
        <f t="shared" si="5"/>
        <v>24.199999999999989</v>
      </c>
      <c r="B18" s="33">
        <v>300</v>
      </c>
      <c r="C18" s="33"/>
      <c r="D18" s="33">
        <f>SUM($B$2:B18)</f>
        <v>6300</v>
      </c>
      <c r="E18" s="33"/>
      <c r="F18" s="33"/>
      <c r="G18" s="33">
        <f t="shared" si="0"/>
        <v>0</v>
      </c>
      <c r="H18">
        <f t="shared" si="1"/>
        <v>6300</v>
      </c>
      <c r="I18" s="8">
        <f t="shared" si="2"/>
        <v>0</v>
      </c>
      <c r="J18" s="8">
        <f t="shared" si="3"/>
        <v>0</v>
      </c>
      <c r="L18" s="13" t="s">
        <v>25</v>
      </c>
      <c r="O18" s="7">
        <f xml:space="preserve"> MIN($A$2:$A$22) - MAX($L$2:$L$7)</f>
        <v>-3</v>
      </c>
    </row>
    <row r="19" spans="1:21">
      <c r="A19" s="32">
        <f t="shared" si="5"/>
        <v>24.399999999999988</v>
      </c>
      <c r="B19" s="33">
        <v>200</v>
      </c>
      <c r="C19" s="33"/>
      <c r="D19" s="33">
        <f>SUM($B$2:B19)</f>
        <v>6500</v>
      </c>
      <c r="E19" s="33"/>
      <c r="F19" s="33"/>
      <c r="G19" s="33">
        <f t="shared" si="0"/>
        <v>0</v>
      </c>
      <c r="H19">
        <f t="shared" si="1"/>
        <v>6500</v>
      </c>
      <c r="I19" s="8">
        <f t="shared" si="2"/>
        <v>0</v>
      </c>
      <c r="J19" s="8">
        <f t="shared" si="3"/>
        <v>0</v>
      </c>
      <c r="L19" t="s">
        <v>27</v>
      </c>
      <c r="O19" s="17">
        <v>0.2</v>
      </c>
      <c r="S19" s="9"/>
    </row>
    <row r="20" spans="1:21">
      <c r="A20" s="32">
        <f t="shared" si="5"/>
        <v>24.599999999999987</v>
      </c>
      <c r="B20" s="33">
        <v>100</v>
      </c>
      <c r="C20" s="33"/>
      <c r="D20" s="33">
        <f>SUM($B$2:B20)</f>
        <v>6600</v>
      </c>
      <c r="E20" s="33"/>
      <c r="F20" s="33"/>
      <c r="G20" s="33">
        <f t="shared" si="0"/>
        <v>0</v>
      </c>
      <c r="H20">
        <f t="shared" si="1"/>
        <v>6600</v>
      </c>
      <c r="I20" s="8">
        <f t="shared" si="2"/>
        <v>0</v>
      </c>
      <c r="J20" s="8">
        <f t="shared" si="3"/>
        <v>0</v>
      </c>
      <c r="S20" s="10"/>
    </row>
    <row r="21" spans="1:21">
      <c r="A21" s="32">
        <f t="shared" si="5"/>
        <v>24.799999999999986</v>
      </c>
      <c r="B21" s="33">
        <v>200</v>
      </c>
      <c r="C21" s="33"/>
      <c r="D21" s="33">
        <f>SUM($B$2:B21)</f>
        <v>6800</v>
      </c>
      <c r="E21" s="33"/>
      <c r="F21" s="33"/>
      <c r="G21" s="33">
        <f t="shared" si="0"/>
        <v>0</v>
      </c>
      <c r="H21">
        <f t="shared" si="1"/>
        <v>6800</v>
      </c>
      <c r="I21" s="8">
        <f t="shared" si="2"/>
        <v>0</v>
      </c>
      <c r="J21" s="8">
        <f t="shared" si="3"/>
        <v>0</v>
      </c>
      <c r="L21" t="s">
        <v>30</v>
      </c>
      <c r="O21">
        <v>24</v>
      </c>
      <c r="S21" s="9"/>
      <c r="T21" s="10"/>
    </row>
    <row r="22" spans="1:21">
      <c r="A22" s="32">
        <f t="shared" si="5"/>
        <v>24.999999999999986</v>
      </c>
      <c r="B22" s="33">
        <v>200</v>
      </c>
      <c r="C22" s="33"/>
      <c r="D22" s="33">
        <f>SUM($B$2:B22)</f>
        <v>7000</v>
      </c>
      <c r="E22" s="33"/>
      <c r="F22" s="33"/>
      <c r="G22" s="33">
        <f t="shared" si="0"/>
        <v>0</v>
      </c>
      <c r="H22">
        <f t="shared" si="1"/>
        <v>7000</v>
      </c>
      <c r="I22" s="8">
        <f t="shared" si="2"/>
        <v>0</v>
      </c>
      <c r="J22" s="8">
        <f t="shared" si="3"/>
        <v>0</v>
      </c>
      <c r="L22" t="s">
        <v>31</v>
      </c>
      <c r="O22">
        <v>21</v>
      </c>
      <c r="S22" s="10"/>
    </row>
    <row r="23" spans="1:21">
      <c r="A23" s="33" t="s">
        <v>13</v>
      </c>
      <c r="B23" s="33" t="s">
        <v>35</v>
      </c>
      <c r="C23" s="36"/>
      <c r="D23" s="33"/>
      <c r="E23" s="33"/>
      <c r="F23" s="33"/>
      <c r="G23" s="33"/>
      <c r="I23" s="11">
        <f>SUM(I2:I22)</f>
        <v>100497144</v>
      </c>
      <c r="J23" s="11">
        <f>SUM(J2:J22)</f>
        <v>5517144</v>
      </c>
      <c r="L23" t="s">
        <v>32</v>
      </c>
      <c r="O23">
        <v>20</v>
      </c>
      <c r="P23" t="s">
        <v>33</v>
      </c>
      <c r="S23" s="9"/>
      <c r="T23" s="10"/>
      <c r="U23" s="10"/>
    </row>
    <row r="24" spans="1:21">
      <c r="A24" s="7"/>
      <c r="K24" s="7"/>
      <c r="L24" s="7"/>
      <c r="S24" s="10"/>
    </row>
    <row r="25" spans="1:21">
      <c r="A25" s="7"/>
      <c r="J25" s="10"/>
      <c r="K25" s="7"/>
      <c r="L25" s="11"/>
    </row>
    <row r="26" spans="1:21">
      <c r="J26" s="12"/>
    </row>
    <row r="27" spans="1:21">
      <c r="J27" s="7"/>
    </row>
    <row r="29" spans="1:21">
      <c r="I29" s="15"/>
      <c r="J29" s="15"/>
    </row>
    <row r="30" spans="1:21">
      <c r="L30" s="17"/>
    </row>
    <row r="31" spans="1:21">
      <c r="I31" s="17"/>
      <c r="J31" s="7"/>
      <c r="K31" s="12"/>
      <c r="L31" s="12"/>
    </row>
    <row r="32" spans="1:21">
      <c r="J32" s="7"/>
      <c r="K32" s="12"/>
      <c r="L32" s="12"/>
    </row>
    <row r="34" spans="1:22">
      <c r="L34" s="19"/>
    </row>
    <row r="35" spans="1:22">
      <c r="I35" s="18"/>
      <c r="L35" s="11"/>
    </row>
    <row r="36" spans="1:22">
      <c r="L36" s="11"/>
    </row>
    <row r="37" spans="1:22">
      <c r="L37" s="11"/>
    </row>
    <row r="38" spans="1:22">
      <c r="B38" s="5"/>
      <c r="C38" s="5"/>
      <c r="D38" s="24"/>
      <c r="E38" s="24"/>
      <c r="F38" s="24"/>
      <c r="G38" s="5"/>
      <c r="L38" s="11"/>
    </row>
    <row r="39" spans="1:22">
      <c r="D39" s="11"/>
      <c r="E39" s="11"/>
      <c r="F39" s="11"/>
      <c r="L39" s="27"/>
      <c r="Q39" s="27"/>
    </row>
    <row r="40" spans="1:22">
      <c r="A40" s="15"/>
    </row>
    <row r="41" spans="1:22">
      <c r="A41" s="15"/>
      <c r="I41" s="38"/>
      <c r="J41" s="38"/>
      <c r="K41" s="38"/>
      <c r="L41" s="38"/>
      <c r="M41" s="38"/>
      <c r="N41" s="38"/>
      <c r="O41" s="38"/>
      <c r="P41" s="38"/>
      <c r="Q41" s="38"/>
      <c r="R41" s="38"/>
    </row>
    <row r="42" spans="1:22">
      <c r="I42" s="5"/>
      <c r="J42" s="5"/>
      <c r="K42" s="5"/>
      <c r="M42" s="5"/>
      <c r="O42" s="5"/>
      <c r="P42" s="5"/>
      <c r="Q42" s="5"/>
      <c r="R42" s="5"/>
      <c r="S42" s="5"/>
      <c r="T42" s="5"/>
      <c r="U42" s="5"/>
      <c r="V42" s="5"/>
    </row>
    <row r="43" spans="1:22">
      <c r="D43" s="19"/>
      <c r="E43" s="19"/>
      <c r="F43" s="19"/>
      <c r="H43" s="27"/>
      <c r="I43" s="19"/>
      <c r="J43" s="19"/>
      <c r="K43" s="11"/>
      <c r="L43" s="11"/>
      <c r="M43" s="11"/>
      <c r="N43" s="11"/>
      <c r="O43" s="11"/>
      <c r="P43" s="11"/>
      <c r="Q43" s="11"/>
      <c r="R43" s="11"/>
      <c r="S43" s="28"/>
      <c r="T43" s="29"/>
      <c r="U43" s="11"/>
      <c r="V43" s="39"/>
    </row>
    <row r="44" spans="1:22">
      <c r="D44" s="19"/>
      <c r="E44" s="19"/>
      <c r="F44" s="19"/>
      <c r="H44" s="27"/>
      <c r="I44" s="19"/>
      <c r="J44" s="19"/>
      <c r="K44" s="11"/>
      <c r="L44" s="11"/>
      <c r="M44" s="11"/>
      <c r="N44" s="11"/>
      <c r="O44" s="11"/>
      <c r="P44" s="11"/>
      <c r="Q44" s="11"/>
      <c r="R44" s="11"/>
      <c r="S44" s="28"/>
      <c r="T44" s="29"/>
      <c r="U44" s="11"/>
      <c r="V44" s="39"/>
    </row>
    <row r="45" spans="1:22">
      <c r="D45" s="19"/>
      <c r="E45" s="19"/>
      <c r="F45" s="19"/>
      <c r="H45" s="27"/>
      <c r="I45" s="19"/>
      <c r="J45" s="19"/>
      <c r="K45" s="11"/>
      <c r="L45" s="11"/>
      <c r="M45" s="11"/>
      <c r="N45" s="11"/>
      <c r="O45" s="11"/>
      <c r="P45" s="11"/>
      <c r="Q45" s="11"/>
      <c r="R45" s="11"/>
      <c r="S45" s="28"/>
      <c r="T45" s="29"/>
      <c r="U45" s="11"/>
    </row>
    <row r="46" spans="1:22">
      <c r="D46" s="19"/>
      <c r="E46" s="19"/>
      <c r="F46" s="19"/>
      <c r="H46" s="27"/>
      <c r="I46" s="19"/>
      <c r="J46" s="19"/>
      <c r="K46" s="11"/>
      <c r="L46" s="11"/>
      <c r="M46" s="11"/>
      <c r="N46" s="11"/>
      <c r="O46" s="11"/>
      <c r="P46" s="11"/>
      <c r="Q46" s="11"/>
      <c r="R46" s="11"/>
      <c r="S46" s="28"/>
      <c r="T46" s="29"/>
      <c r="U46" s="11"/>
    </row>
    <row r="47" spans="1:22">
      <c r="H47" s="27"/>
      <c r="I47" s="19"/>
      <c r="J47" s="19"/>
      <c r="K47" s="11"/>
      <c r="L47" s="11"/>
      <c r="M47" s="11"/>
      <c r="N47" s="11"/>
      <c r="O47" s="11"/>
      <c r="P47" s="11"/>
      <c r="Q47" s="11"/>
      <c r="R47" s="11"/>
      <c r="S47" s="28"/>
      <c r="T47" s="29"/>
      <c r="U47" s="11"/>
    </row>
    <row r="48" spans="1:22">
      <c r="A48" s="15"/>
      <c r="H48" s="27"/>
      <c r="I48" s="19"/>
      <c r="J48" s="19"/>
      <c r="K48" s="11"/>
      <c r="L48" s="11"/>
      <c r="M48" s="11"/>
      <c r="N48" s="11"/>
      <c r="O48" s="11"/>
      <c r="P48" s="11"/>
      <c r="Q48" s="11"/>
      <c r="R48" s="11"/>
      <c r="S48" s="28"/>
      <c r="T48" s="29"/>
      <c r="U48" s="11"/>
    </row>
    <row r="49" spans="1:10">
      <c r="A49" s="15"/>
      <c r="J49" s="11"/>
    </row>
  </sheetData>
  <mergeCells count="5">
    <mergeCell ref="I41:J41"/>
    <mergeCell ref="K41:L41"/>
    <mergeCell ref="M41:N41"/>
    <mergeCell ref="O41:R41"/>
    <mergeCell ref="V43:V44"/>
  </mergeCells>
  <phoneticPr fontId="6" type="noConversion"/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CB2BB-8960-491D-A4AB-422650DC1DFE}">
  <dimension ref="A1:S49"/>
  <sheetViews>
    <sheetView topLeftCell="A7" workbookViewId="0">
      <selection activeCell="C37" sqref="C37"/>
    </sheetView>
  </sheetViews>
  <sheetFormatPr defaultRowHeight="14.25"/>
  <cols>
    <col min="1" max="1" width="10.73046875" customWidth="1"/>
    <col min="2" max="2" width="10.1328125" customWidth="1"/>
    <col min="3" max="3" width="12.86328125" customWidth="1"/>
    <col min="5" max="5" width="7" customWidth="1"/>
    <col min="6" max="6" width="13.86328125" customWidth="1"/>
    <col min="7" max="7" width="10.53125" customWidth="1"/>
    <col min="8" max="8" width="9.9296875" customWidth="1"/>
    <col min="9" max="9" width="12.73046875" customWidth="1"/>
    <col min="10" max="10" width="7.86328125" customWidth="1"/>
    <col min="11" max="11" width="10.796875" customWidth="1"/>
    <col min="12" max="12" width="8.59765625" customWidth="1"/>
    <col min="13" max="15" width="12.06640625" bestFit="1" customWidth="1"/>
    <col min="16" max="16" width="16.06640625" bestFit="1" customWidth="1"/>
    <col min="17" max="17" width="16.6640625" bestFit="1" customWidth="1"/>
    <col min="18" max="18" width="13.59765625" bestFit="1" customWidth="1"/>
    <col min="19" max="19" width="18.19921875" customWidth="1"/>
    <col min="20" max="20" width="12.06640625" bestFit="1" customWidth="1"/>
  </cols>
  <sheetData>
    <row r="1" spans="1:14" s="5" customFormat="1" ht="53.6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I1" s="2" t="s">
        <v>0</v>
      </c>
      <c r="J1" s="2" t="s">
        <v>7</v>
      </c>
      <c r="K1" s="2" t="s">
        <v>8</v>
      </c>
      <c r="L1" s="2" t="s">
        <v>9</v>
      </c>
      <c r="M1" s="2" t="s">
        <v>10</v>
      </c>
      <c r="N1" s="6"/>
    </row>
    <row r="2" spans="1:14">
      <c r="A2" s="7">
        <f>D35</f>
        <v>21</v>
      </c>
      <c r="B2">
        <v>200</v>
      </c>
      <c r="C2">
        <f>SUM($B$2:B2)</f>
        <v>200</v>
      </c>
      <c r="D2">
        <f t="shared" ref="D2:D22" si="0">SUMIFS($M$2:$M$7, $I$2:$I$7, "&gt;=" &amp; A2)</f>
        <v>5000</v>
      </c>
      <c r="E2">
        <f t="shared" ref="E2:E22" si="1">C2-D2</f>
        <v>-4800</v>
      </c>
      <c r="F2" s="8">
        <f t="shared" ref="F2:F22" si="2">ROUND(IF(E2&lt;0,B2*$D$29*1000,0),0)</f>
        <v>4365000</v>
      </c>
      <c r="G2" s="8">
        <f t="shared" ref="G2:G22" si="3">ROUND(IF(E2&lt;0,($D$29-A2)*B2*1000,0),0)</f>
        <v>165000</v>
      </c>
      <c r="I2" s="7">
        <f>D34</f>
        <v>22</v>
      </c>
      <c r="J2">
        <v>300</v>
      </c>
      <c r="K2">
        <v>300</v>
      </c>
      <c r="L2">
        <v>300</v>
      </c>
      <c r="M2">
        <f t="shared" ref="M2:M7" si="4">IFERROR(J2+K2+L2,0)</f>
        <v>900</v>
      </c>
      <c r="N2" s="8"/>
    </row>
    <row r="3" spans="1:14">
      <c r="A3" s="7">
        <f t="shared" ref="A3:A22" si="5">A2+$D$36/100</f>
        <v>21.2</v>
      </c>
      <c r="B3">
        <v>300</v>
      </c>
      <c r="C3">
        <f>SUM($B$2:B3)</f>
        <v>500</v>
      </c>
      <c r="D3">
        <f t="shared" si="0"/>
        <v>4900</v>
      </c>
      <c r="E3">
        <f t="shared" si="1"/>
        <v>-4400</v>
      </c>
      <c r="F3" s="8">
        <f t="shared" si="2"/>
        <v>6547500</v>
      </c>
      <c r="G3" s="8">
        <f t="shared" si="3"/>
        <v>187500</v>
      </c>
      <c r="I3" s="7">
        <f>I2-$D$36/100</f>
        <v>21.8</v>
      </c>
      <c r="J3">
        <v>500</v>
      </c>
      <c r="K3">
        <v>500</v>
      </c>
      <c r="L3">
        <v>300</v>
      </c>
      <c r="M3">
        <f t="shared" si="4"/>
        <v>1300</v>
      </c>
      <c r="N3" s="8"/>
    </row>
    <row r="4" spans="1:14">
      <c r="A4" s="7">
        <f t="shared" si="5"/>
        <v>21.4</v>
      </c>
      <c r="B4">
        <v>400</v>
      </c>
      <c r="C4">
        <f>SUM($B$2:B4)</f>
        <v>900</v>
      </c>
      <c r="D4">
        <f t="shared" si="0"/>
        <v>4000</v>
      </c>
      <c r="E4">
        <f t="shared" si="1"/>
        <v>-3100</v>
      </c>
      <c r="F4" s="8">
        <f t="shared" si="2"/>
        <v>8730000</v>
      </c>
      <c r="G4" s="8">
        <f t="shared" si="3"/>
        <v>170000</v>
      </c>
      <c r="I4" s="7">
        <f>I3-$D$36/100</f>
        <v>21.6</v>
      </c>
      <c r="J4">
        <v>400</v>
      </c>
      <c r="K4">
        <v>300</v>
      </c>
      <c r="L4">
        <v>200</v>
      </c>
      <c r="M4">
        <f t="shared" si="4"/>
        <v>900</v>
      </c>
      <c r="N4" s="8"/>
    </row>
    <row r="5" spans="1:14">
      <c r="A5" s="7">
        <f t="shared" si="5"/>
        <v>21.599999999999998</v>
      </c>
      <c r="B5">
        <v>600</v>
      </c>
      <c r="C5">
        <f>SUM($B$2:B5)</f>
        <v>1500</v>
      </c>
      <c r="D5">
        <f t="shared" si="0"/>
        <v>3100</v>
      </c>
      <c r="E5">
        <f t="shared" si="1"/>
        <v>-1600</v>
      </c>
      <c r="F5" s="8">
        <f t="shared" si="2"/>
        <v>13095000</v>
      </c>
      <c r="G5" s="8">
        <f t="shared" si="3"/>
        <v>135000</v>
      </c>
      <c r="I5" s="7">
        <f>I4-$D$36/100</f>
        <v>21.400000000000002</v>
      </c>
      <c r="J5">
        <v>400</v>
      </c>
      <c r="K5">
        <v>300</v>
      </c>
      <c r="L5">
        <v>200</v>
      </c>
      <c r="M5">
        <f t="shared" si="4"/>
        <v>900</v>
      </c>
      <c r="N5" s="8"/>
    </row>
    <row r="6" spans="1:14">
      <c r="A6" s="7">
        <f t="shared" si="5"/>
        <v>21.799999999999997</v>
      </c>
      <c r="B6">
        <v>500</v>
      </c>
      <c r="C6">
        <f>SUM($B$2:B6)</f>
        <v>2000</v>
      </c>
      <c r="D6">
        <f t="shared" si="0"/>
        <v>2200</v>
      </c>
      <c r="E6">
        <f t="shared" si="1"/>
        <v>-200</v>
      </c>
      <c r="F6" s="8">
        <f t="shared" si="2"/>
        <v>10912500</v>
      </c>
      <c r="G6" s="8">
        <f t="shared" si="3"/>
        <v>12500</v>
      </c>
      <c r="H6" s="7"/>
      <c r="I6" s="7">
        <f>I5-$D$36/100</f>
        <v>21.200000000000003</v>
      </c>
      <c r="J6">
        <v>200</v>
      </c>
      <c r="K6">
        <v>300</v>
      </c>
      <c r="L6">
        <v>400</v>
      </c>
      <c r="M6">
        <f t="shared" si="4"/>
        <v>900</v>
      </c>
      <c r="N6" s="8"/>
    </row>
    <row r="7" spans="1:14">
      <c r="A7" s="7">
        <f t="shared" si="5"/>
        <v>21.999999999999996</v>
      </c>
      <c r="B7">
        <v>300</v>
      </c>
      <c r="C7">
        <f>SUM($B$2:B7)</f>
        <v>2300</v>
      </c>
      <c r="D7">
        <f t="shared" si="0"/>
        <v>900</v>
      </c>
      <c r="E7">
        <f t="shared" si="1"/>
        <v>1400</v>
      </c>
      <c r="F7" s="8">
        <f t="shared" si="2"/>
        <v>0</v>
      </c>
      <c r="G7" s="8">
        <f t="shared" si="3"/>
        <v>0</v>
      </c>
      <c r="I7" s="7">
        <f>I6-$D$36/100</f>
        <v>21.000000000000004</v>
      </c>
      <c r="J7">
        <v>100</v>
      </c>
      <c r="K7">
        <v>0</v>
      </c>
      <c r="L7">
        <v>0</v>
      </c>
      <c r="M7">
        <f t="shared" si="4"/>
        <v>100</v>
      </c>
      <c r="N7" s="8"/>
    </row>
    <row r="8" spans="1:14">
      <c r="A8" s="7">
        <f t="shared" si="5"/>
        <v>22.199999999999996</v>
      </c>
      <c r="B8">
        <v>200</v>
      </c>
      <c r="C8">
        <f>SUM($B$2:B8)</f>
        <v>2500</v>
      </c>
      <c r="D8">
        <f t="shared" si="0"/>
        <v>0</v>
      </c>
      <c r="E8">
        <f t="shared" si="1"/>
        <v>2500</v>
      </c>
      <c r="F8" s="8">
        <f t="shared" si="2"/>
        <v>0</v>
      </c>
      <c r="G8" s="8">
        <f t="shared" si="3"/>
        <v>0</v>
      </c>
      <c r="J8">
        <f>SUM(J2:J7)</f>
        <v>1900</v>
      </c>
      <c r="K8">
        <f t="shared" ref="K8:L8" si="6">SUM(K2:K7)</f>
        <v>1700</v>
      </c>
      <c r="L8">
        <f t="shared" si="6"/>
        <v>1400</v>
      </c>
      <c r="M8">
        <f>SUM(M2:M7)</f>
        <v>5000</v>
      </c>
      <c r="N8" s="8"/>
    </row>
    <row r="9" spans="1:14">
      <c r="A9" s="7">
        <f t="shared" si="5"/>
        <v>22.399999999999995</v>
      </c>
      <c r="B9">
        <v>600</v>
      </c>
      <c r="C9">
        <f>SUM($B$2:B9)</f>
        <v>3100</v>
      </c>
      <c r="D9">
        <f t="shared" si="0"/>
        <v>0</v>
      </c>
      <c r="E9">
        <f t="shared" si="1"/>
        <v>3100</v>
      </c>
      <c r="F9" s="8">
        <f t="shared" si="2"/>
        <v>0</v>
      </c>
      <c r="G9" s="8">
        <f t="shared" si="3"/>
        <v>0</v>
      </c>
    </row>
    <row r="10" spans="1:14">
      <c r="A10" s="7">
        <f t="shared" si="5"/>
        <v>22.599999999999994</v>
      </c>
      <c r="B10">
        <v>200</v>
      </c>
      <c r="C10">
        <f>SUM($B$2:B10)</f>
        <v>3300</v>
      </c>
      <c r="D10">
        <f t="shared" si="0"/>
        <v>0</v>
      </c>
      <c r="E10">
        <f t="shared" si="1"/>
        <v>3300</v>
      </c>
      <c r="F10" s="8">
        <f t="shared" si="2"/>
        <v>0</v>
      </c>
      <c r="G10" s="8">
        <f t="shared" si="3"/>
        <v>0</v>
      </c>
      <c r="N10" s="7"/>
    </row>
    <row r="11" spans="1:14">
      <c r="A11" s="7">
        <f t="shared" si="5"/>
        <v>22.799999999999994</v>
      </c>
      <c r="B11">
        <v>300</v>
      </c>
      <c r="C11">
        <f>SUM($B$2:B11)</f>
        <v>3600</v>
      </c>
      <c r="D11">
        <f t="shared" si="0"/>
        <v>0</v>
      </c>
      <c r="E11">
        <f t="shared" si="1"/>
        <v>3600</v>
      </c>
      <c r="F11" s="8">
        <f t="shared" si="2"/>
        <v>0</v>
      </c>
      <c r="G11" s="8">
        <f t="shared" si="3"/>
        <v>0</v>
      </c>
      <c r="I11" t="s">
        <v>11</v>
      </c>
    </row>
    <row r="12" spans="1:14">
      <c r="A12" s="7">
        <f t="shared" si="5"/>
        <v>22.999999999999993</v>
      </c>
      <c r="B12">
        <v>400</v>
      </c>
      <c r="C12">
        <f>SUM($B$2:B12)</f>
        <v>4000</v>
      </c>
      <c r="D12">
        <f t="shared" si="0"/>
        <v>0</v>
      </c>
      <c r="E12">
        <f t="shared" si="1"/>
        <v>4000</v>
      </c>
      <c r="F12" s="8">
        <f t="shared" si="2"/>
        <v>0</v>
      </c>
      <c r="G12" s="8">
        <f t="shared" si="3"/>
        <v>0</v>
      </c>
      <c r="I12" t="s">
        <v>12</v>
      </c>
    </row>
    <row r="13" spans="1:14">
      <c r="A13" s="7">
        <f t="shared" si="5"/>
        <v>23.199999999999992</v>
      </c>
      <c r="B13">
        <v>300</v>
      </c>
      <c r="C13">
        <f>SUM($B$2:B13)</f>
        <v>4300</v>
      </c>
      <c r="D13">
        <f t="shared" si="0"/>
        <v>0</v>
      </c>
      <c r="E13">
        <f t="shared" si="1"/>
        <v>4300</v>
      </c>
      <c r="F13" s="8">
        <f t="shared" si="2"/>
        <v>0</v>
      </c>
      <c r="G13" s="8">
        <f t="shared" si="3"/>
        <v>0</v>
      </c>
    </row>
    <row r="14" spans="1:14">
      <c r="A14" s="7">
        <f t="shared" si="5"/>
        <v>23.399999999999991</v>
      </c>
      <c r="B14">
        <v>200</v>
      </c>
      <c r="C14">
        <f>SUM($B$2:B14)</f>
        <v>4500</v>
      </c>
      <c r="D14">
        <f t="shared" si="0"/>
        <v>0</v>
      </c>
      <c r="E14">
        <f t="shared" si="1"/>
        <v>4500</v>
      </c>
      <c r="F14" s="8">
        <f t="shared" si="2"/>
        <v>0</v>
      </c>
      <c r="G14" s="8">
        <f t="shared" si="3"/>
        <v>0</v>
      </c>
    </row>
    <row r="15" spans="1:14">
      <c r="A15" s="7">
        <f t="shared" si="5"/>
        <v>23.599999999999991</v>
      </c>
      <c r="B15">
        <v>500</v>
      </c>
      <c r="C15">
        <f>SUM($B$2:B15)</f>
        <v>5000</v>
      </c>
      <c r="D15">
        <f t="shared" si="0"/>
        <v>0</v>
      </c>
      <c r="E15">
        <f t="shared" si="1"/>
        <v>5000</v>
      </c>
      <c r="F15" s="8">
        <f t="shared" si="2"/>
        <v>0</v>
      </c>
      <c r="G15" s="8">
        <f t="shared" si="3"/>
        <v>0</v>
      </c>
    </row>
    <row r="16" spans="1:14">
      <c r="A16" s="7">
        <f t="shared" si="5"/>
        <v>23.79999999999999</v>
      </c>
      <c r="B16">
        <v>600</v>
      </c>
      <c r="C16">
        <f>SUM($B$2:B16)</f>
        <v>5600</v>
      </c>
      <c r="D16">
        <f t="shared" si="0"/>
        <v>0</v>
      </c>
      <c r="E16">
        <f t="shared" si="1"/>
        <v>5600</v>
      </c>
      <c r="F16" s="8">
        <f t="shared" si="2"/>
        <v>0</v>
      </c>
      <c r="G16" s="8">
        <f t="shared" si="3"/>
        <v>0</v>
      </c>
    </row>
    <row r="17" spans="1:18">
      <c r="A17" s="7">
        <f t="shared" si="5"/>
        <v>23.999999999999989</v>
      </c>
      <c r="B17">
        <v>400</v>
      </c>
      <c r="C17">
        <f>SUM($B$2:B17)</f>
        <v>6000</v>
      </c>
      <c r="D17">
        <f t="shared" si="0"/>
        <v>0</v>
      </c>
      <c r="E17">
        <f t="shared" si="1"/>
        <v>6000</v>
      </c>
      <c r="F17" s="8">
        <f t="shared" si="2"/>
        <v>0</v>
      </c>
      <c r="G17" s="8">
        <f t="shared" si="3"/>
        <v>0</v>
      </c>
    </row>
    <row r="18" spans="1:18">
      <c r="A18" s="7">
        <f t="shared" si="5"/>
        <v>24.199999999999989</v>
      </c>
      <c r="B18">
        <v>300</v>
      </c>
      <c r="C18">
        <f>SUM($B$2:B18)</f>
        <v>6300</v>
      </c>
      <c r="D18">
        <f t="shared" si="0"/>
        <v>0</v>
      </c>
      <c r="E18">
        <f t="shared" si="1"/>
        <v>6300</v>
      </c>
      <c r="F18" s="8">
        <f t="shared" si="2"/>
        <v>0</v>
      </c>
      <c r="G18" s="8">
        <f t="shared" si="3"/>
        <v>0</v>
      </c>
    </row>
    <row r="19" spans="1:18">
      <c r="A19" s="7">
        <f t="shared" si="5"/>
        <v>24.399999999999988</v>
      </c>
      <c r="B19">
        <v>200</v>
      </c>
      <c r="C19">
        <f>SUM($B$2:B19)</f>
        <v>6500</v>
      </c>
      <c r="D19">
        <f t="shared" si="0"/>
        <v>0</v>
      </c>
      <c r="E19">
        <f t="shared" si="1"/>
        <v>6500</v>
      </c>
      <c r="F19" s="8">
        <f t="shared" si="2"/>
        <v>0</v>
      </c>
      <c r="G19" s="8">
        <f t="shared" si="3"/>
        <v>0</v>
      </c>
      <c r="L19">
        <v>250</v>
      </c>
      <c r="M19">
        <v>30</v>
      </c>
      <c r="N19">
        <f>M19*L19</f>
        <v>7500</v>
      </c>
      <c r="O19">
        <v>25000</v>
      </c>
      <c r="P19" s="9">
        <f>O19*N19</f>
        <v>187500000</v>
      </c>
    </row>
    <row r="20" spans="1:18">
      <c r="A20" s="7">
        <f t="shared" si="5"/>
        <v>24.599999999999987</v>
      </c>
      <c r="B20">
        <v>100</v>
      </c>
      <c r="C20">
        <f>SUM($B$2:B20)</f>
        <v>6600</v>
      </c>
      <c r="D20">
        <f t="shared" si="0"/>
        <v>0</v>
      </c>
      <c r="E20">
        <f t="shared" si="1"/>
        <v>6600</v>
      </c>
      <c r="F20" s="8">
        <f t="shared" si="2"/>
        <v>0</v>
      </c>
      <c r="G20" s="8">
        <f t="shared" si="3"/>
        <v>0</v>
      </c>
      <c r="P20" s="10">
        <f>P19*9%/12</f>
        <v>1406250</v>
      </c>
    </row>
    <row r="21" spans="1:18">
      <c r="A21" s="7">
        <f t="shared" si="5"/>
        <v>24.799999999999986</v>
      </c>
      <c r="B21">
        <v>200</v>
      </c>
      <c r="C21">
        <f>SUM($B$2:B21)</f>
        <v>6800</v>
      </c>
      <c r="D21">
        <f t="shared" si="0"/>
        <v>0</v>
      </c>
      <c r="E21">
        <f t="shared" si="1"/>
        <v>6800</v>
      </c>
      <c r="F21" s="8">
        <f t="shared" si="2"/>
        <v>0</v>
      </c>
      <c r="G21" s="8">
        <f t="shared" si="3"/>
        <v>0</v>
      </c>
      <c r="L21">
        <v>250</v>
      </c>
      <c r="M21">
        <v>30</v>
      </c>
      <c r="N21">
        <f>M21*L21</f>
        <v>7500</v>
      </c>
      <c r="O21">
        <v>24000</v>
      </c>
      <c r="P21" s="9">
        <f>O21*N21</f>
        <v>180000000</v>
      </c>
      <c r="Q21" s="10">
        <f>P19-P21</f>
        <v>7500000</v>
      </c>
    </row>
    <row r="22" spans="1:18">
      <c r="A22" s="7">
        <f t="shared" si="5"/>
        <v>24.999999999999986</v>
      </c>
      <c r="B22">
        <v>200</v>
      </c>
      <c r="C22">
        <f>SUM($B$2:B22)</f>
        <v>7000</v>
      </c>
      <c r="D22">
        <f t="shared" si="0"/>
        <v>0</v>
      </c>
      <c r="E22">
        <f t="shared" si="1"/>
        <v>7000</v>
      </c>
      <c r="F22" s="8">
        <f t="shared" si="2"/>
        <v>0</v>
      </c>
      <c r="G22" s="8">
        <f t="shared" si="3"/>
        <v>0</v>
      </c>
      <c r="P22" s="10">
        <f>P21*9%/12</f>
        <v>1350000</v>
      </c>
    </row>
    <row r="23" spans="1:18">
      <c r="A23" t="s">
        <v>13</v>
      </c>
      <c r="F23" s="11">
        <f>SUM(F2:F22)</f>
        <v>43650000</v>
      </c>
      <c r="G23" s="11">
        <f>SUM(G2:G22)</f>
        <v>670000</v>
      </c>
      <c r="L23">
        <v>250</v>
      </c>
      <c r="M23">
        <v>30</v>
      </c>
      <c r="N23">
        <f>M23*L23</f>
        <v>7500</v>
      </c>
      <c r="O23">
        <v>23000</v>
      </c>
      <c r="P23" s="9">
        <f>O23*N23</f>
        <v>172500000</v>
      </c>
      <c r="Q23" s="10">
        <f>P19-P23</f>
        <v>15000000</v>
      </c>
      <c r="R23" s="10">
        <f>P23*1.5%</f>
        <v>2587500</v>
      </c>
    </row>
    <row r="24" spans="1:18">
      <c r="A24" s="7">
        <f t="array" ref="A24">IFERROR(MEDIAN(IF(G2:G22&lt;&gt;0, A2:A22)),"NO_CROSS")</f>
        <v>21.4</v>
      </c>
      <c r="B24" t="s">
        <v>14</v>
      </c>
      <c r="F24" t="s">
        <v>15</v>
      </c>
      <c r="G24">
        <f t="array" ref="G24">IFERROR(MEDIAN(IF(G2:G22&lt;&gt;0,G2:G22)),"NO_CROSS")</f>
        <v>165000</v>
      </c>
      <c r="H24" s="7"/>
      <c r="I24" s="7">
        <f xml:space="preserve"> MIN($A$2:$A$22) - MAX($I$2:$I$7)</f>
        <v>-1</v>
      </c>
      <c r="P24" s="10">
        <f>P23*9%/12</f>
        <v>1293750</v>
      </c>
    </row>
    <row r="25" spans="1:18">
      <c r="A25" s="7">
        <f t="array" ref="A25">IFERROR(AVERAGE(IF(G2:G22&lt;&gt;0, A2:A22)),"NO_CROSS")</f>
        <v>21.4</v>
      </c>
      <c r="B25" t="s">
        <v>16</v>
      </c>
      <c r="F25" t="s">
        <v>17</v>
      </c>
      <c r="G25" s="10">
        <f t="array" ref="G25">IFERROR(G24/D30,"NO_X")</f>
        <v>80.981595092024619</v>
      </c>
      <c r="H25" s="7"/>
      <c r="I25" s="11"/>
    </row>
    <row r="26" spans="1:18">
      <c r="F26" t="s">
        <v>18</v>
      </c>
      <c r="G26" s="12">
        <f t="array" ref="G26">IFERROR(AVERAGE(IF(G2:G22&lt;&gt;0, G2:G22)),"NO_X")</f>
        <v>134000</v>
      </c>
    </row>
    <row r="27" spans="1:18">
      <c r="A27" t="s">
        <v>19</v>
      </c>
      <c r="B27" s="5"/>
      <c r="F27" t="s">
        <v>20</v>
      </c>
      <c r="G27" s="7">
        <f t="array" ref="G27">IFERROR(G26/D30,"NO_X")</f>
        <v>65.766871165644233</v>
      </c>
    </row>
    <row r="28" spans="1:18">
      <c r="A28" s="13" t="s">
        <v>21</v>
      </c>
      <c r="B28" s="13"/>
      <c r="C28" s="13"/>
      <c r="D28" s="13">
        <f>IF(MAX($I$2:$I$7) &lt; MIN($A$2:$A$22), "NO_CROSS",
    MATCH(TRUE,INDEX(E2:E22&gt;=0,0),0)+1 )</f>
        <v>7</v>
      </c>
    </row>
    <row r="29" spans="1:18">
      <c r="A29" s="13" t="s">
        <v>22</v>
      </c>
      <c r="B29" s="13"/>
      <c r="C29" s="13"/>
      <c r="D29" s="14">
        <f>IF(D28="NO_CROSS","",
INDEX(A:A,D28-1)+((INDEX(A:A,D28)-INDEX(A:A,D28-1))*((0-INDEX(E:E,D28-1))/(INDEX(E:E,D28)-INDEX(E:E,D28-1)))))</f>
        <v>21.824999999999996</v>
      </c>
      <c r="F29" s="15"/>
      <c r="G29" s="15"/>
    </row>
    <row r="30" spans="1:18">
      <c r="A30" s="13" t="s">
        <v>23</v>
      </c>
      <c r="B30" s="13"/>
      <c r="C30" s="13"/>
      <c r="D30" s="16">
        <f>IF(D28="NO_CROSS","",
INDEX(C:C,D28-1)+((INDEX(C:C,D28)-INDEX(C:C,D28-1))*((D29-INDEX(A:A,D28-1))/(INDEX(A:A,D28)-INDEX(A:A,D28-1)))))</f>
        <v>2037.499999999998</v>
      </c>
      <c r="I30" s="17"/>
      <c r="K30" t="s">
        <v>24</v>
      </c>
    </row>
    <row r="31" spans="1:18">
      <c r="A31" s="13" t="s">
        <v>25</v>
      </c>
      <c r="D31" s="7">
        <f xml:space="preserve"> MIN($A$2:$A$22) - MAX($I$2:$I$7)</f>
        <v>-1</v>
      </c>
      <c r="F31" s="17"/>
      <c r="G31" s="7"/>
      <c r="H31" s="12"/>
      <c r="I31" s="12"/>
      <c r="K31" t="s">
        <v>26</v>
      </c>
      <c r="L31" s="17">
        <v>0.02</v>
      </c>
    </row>
    <row r="32" spans="1:18">
      <c r="A32" t="s">
        <v>27</v>
      </c>
      <c r="D32" s="17">
        <v>0.2</v>
      </c>
      <c r="G32" s="7"/>
      <c r="H32" s="12"/>
      <c r="I32" s="12"/>
      <c r="K32" t="s">
        <v>28</v>
      </c>
      <c r="L32" s="18">
        <v>1.4999999999999999E-2</v>
      </c>
    </row>
    <row r="33" spans="1:19">
      <c r="K33" t="s">
        <v>29</v>
      </c>
      <c r="L33" s="17">
        <v>0.01</v>
      </c>
    </row>
    <row r="34" spans="1:19">
      <c r="A34" t="s">
        <v>30</v>
      </c>
      <c r="D34">
        <v>22</v>
      </c>
      <c r="I34" s="19"/>
      <c r="K34" s="20"/>
      <c r="L34" s="20"/>
      <c r="M34" s="20"/>
      <c r="N34" s="21"/>
    </row>
    <row r="35" spans="1:19">
      <c r="A35" t="s">
        <v>31</v>
      </c>
      <c r="D35">
        <v>21</v>
      </c>
      <c r="F35" s="18"/>
      <c r="I35" s="11"/>
      <c r="K35" s="22"/>
      <c r="L35" s="20"/>
      <c r="M35" s="20"/>
      <c r="N35" s="23"/>
    </row>
    <row r="36" spans="1:19">
      <c r="A36" t="s">
        <v>32</v>
      </c>
      <c r="D36">
        <v>20</v>
      </c>
      <c r="E36" t="s">
        <v>33</v>
      </c>
      <c r="I36" s="11"/>
      <c r="K36" s="20"/>
      <c r="L36" s="20"/>
      <c r="M36" s="20"/>
      <c r="N36" s="23"/>
    </row>
    <row r="37" spans="1:19">
      <c r="I37" s="11"/>
      <c r="K37" s="20"/>
      <c r="L37" s="20"/>
      <c r="M37" s="20"/>
      <c r="N37" s="23"/>
    </row>
    <row r="38" spans="1:19">
      <c r="B38" s="5"/>
      <c r="C38" s="24"/>
      <c r="D38" s="5"/>
      <c r="I38" s="11"/>
      <c r="K38" s="25"/>
      <c r="L38" s="25"/>
      <c r="M38" s="25"/>
      <c r="N38" s="26"/>
    </row>
    <row r="39" spans="1:19">
      <c r="C39" s="11"/>
      <c r="I39" s="27"/>
      <c r="N39" s="27"/>
    </row>
    <row r="40" spans="1:19">
      <c r="A40" s="15"/>
    </row>
    <row r="41" spans="1:19">
      <c r="A41" s="15"/>
      <c r="F41" s="38"/>
      <c r="G41" s="38"/>
      <c r="H41" s="38"/>
      <c r="I41" s="38"/>
      <c r="J41" s="38"/>
      <c r="K41" s="38"/>
      <c r="L41" s="38"/>
      <c r="M41" s="38"/>
      <c r="N41" s="38"/>
      <c r="O41" s="38"/>
    </row>
    <row r="42" spans="1:19">
      <c r="F42" s="5"/>
      <c r="G42" s="5"/>
      <c r="H42" s="5"/>
      <c r="J42" s="5"/>
      <c r="L42" s="5"/>
      <c r="M42" s="5"/>
      <c r="N42" s="5"/>
      <c r="O42" s="5"/>
      <c r="P42" s="5"/>
      <c r="Q42" s="5"/>
      <c r="R42" s="5"/>
      <c r="S42" s="5"/>
    </row>
    <row r="43" spans="1:19">
      <c r="C43" s="19"/>
      <c r="E43" s="27"/>
      <c r="F43" s="19"/>
      <c r="G43" s="19"/>
      <c r="H43" s="11"/>
      <c r="I43" s="11"/>
      <c r="J43" s="11"/>
      <c r="K43" s="11"/>
      <c r="L43" s="11"/>
      <c r="M43" s="11"/>
      <c r="N43" s="11"/>
      <c r="O43" s="11"/>
      <c r="P43" s="28"/>
      <c r="Q43" s="29"/>
      <c r="R43" s="11"/>
      <c r="S43" s="39"/>
    </row>
    <row r="44" spans="1:19">
      <c r="C44" s="19"/>
      <c r="E44" s="27"/>
      <c r="F44" s="19"/>
      <c r="G44" s="19"/>
      <c r="H44" s="11"/>
      <c r="I44" s="11"/>
      <c r="J44" s="11"/>
      <c r="K44" s="11"/>
      <c r="L44" s="11"/>
      <c r="M44" s="11"/>
      <c r="N44" s="11"/>
      <c r="O44" s="11"/>
      <c r="P44" s="28"/>
      <c r="Q44" s="29"/>
      <c r="R44" s="11"/>
      <c r="S44" s="39"/>
    </row>
    <row r="45" spans="1:19">
      <c r="C45" s="19"/>
      <c r="E45" s="27"/>
      <c r="F45" s="19"/>
      <c r="G45" s="19"/>
      <c r="H45" s="11"/>
      <c r="I45" s="11"/>
      <c r="J45" s="11"/>
      <c r="K45" s="11"/>
      <c r="L45" s="11"/>
      <c r="M45" s="11"/>
      <c r="N45" s="11"/>
      <c r="O45" s="11"/>
      <c r="P45" s="28"/>
      <c r="Q45" s="29"/>
      <c r="R45" s="11"/>
    </row>
    <row r="46" spans="1:19">
      <c r="C46" s="19"/>
      <c r="E46" s="27"/>
      <c r="F46" s="19"/>
      <c r="G46" s="19"/>
      <c r="H46" s="11"/>
      <c r="I46" s="11"/>
      <c r="J46" s="11"/>
      <c r="K46" s="11"/>
      <c r="L46" s="11"/>
      <c r="M46" s="11"/>
      <c r="N46" s="11"/>
      <c r="O46" s="11"/>
      <c r="P46" s="28"/>
      <c r="Q46" s="29"/>
      <c r="R46" s="11"/>
    </row>
    <row r="47" spans="1:19">
      <c r="E47" s="27"/>
      <c r="F47" s="19"/>
      <c r="G47" s="19"/>
      <c r="H47" s="11"/>
      <c r="I47" s="11"/>
      <c r="J47" s="11"/>
      <c r="K47" s="11"/>
      <c r="L47" s="11"/>
      <c r="M47" s="11"/>
      <c r="N47" s="11"/>
      <c r="O47" s="11"/>
      <c r="P47" s="28"/>
      <c r="Q47" s="29"/>
      <c r="R47" s="11"/>
    </row>
    <row r="48" spans="1:19">
      <c r="A48" s="15"/>
      <c r="E48" s="27"/>
      <c r="F48" s="19"/>
      <c r="G48" s="19"/>
      <c r="H48" s="11"/>
      <c r="I48" s="11"/>
      <c r="J48" s="11"/>
      <c r="K48" s="11"/>
      <c r="L48" s="11"/>
      <c r="M48" s="11"/>
      <c r="N48" s="11"/>
      <c r="O48" s="11"/>
      <c r="P48" s="28"/>
      <c r="Q48" s="29"/>
      <c r="R48" s="11"/>
    </row>
    <row r="49" spans="1:7">
      <c r="A49" s="15"/>
      <c r="G49" s="11"/>
    </row>
  </sheetData>
  <mergeCells count="5">
    <mergeCell ref="F41:G41"/>
    <mergeCell ref="H41:I41"/>
    <mergeCell ref="J41:K41"/>
    <mergeCell ref="L41:O41"/>
    <mergeCell ref="S43:S44"/>
  </mergeCells>
  <pageMargins left="0.75" right="0.75" top="1" bottom="1" header="0.5" footer="0.5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AC308-E383-4453-B63A-7FE24C0116B7}">
  <dimension ref="A1:Q27"/>
  <sheetViews>
    <sheetView tabSelected="1" topLeftCell="B20" workbookViewId="0">
      <selection activeCell="F42" sqref="F42"/>
    </sheetView>
  </sheetViews>
  <sheetFormatPr defaultRowHeight="14.25"/>
  <cols>
    <col min="1" max="1" width="10.73046875" bestFit="1" customWidth="1"/>
    <col min="2" max="2" width="10.1328125" customWidth="1"/>
    <col min="3" max="3" width="12.86328125" customWidth="1"/>
    <col min="5" max="5" width="10.73046875" bestFit="1" customWidth="1"/>
    <col min="6" max="7" width="11.19921875" bestFit="1" customWidth="1"/>
    <col min="8" max="8" width="23.59765625" bestFit="1" customWidth="1"/>
    <col min="9" max="9" width="16.46484375" bestFit="1" customWidth="1"/>
    <col min="15" max="15" width="23.59765625" bestFit="1" customWidth="1"/>
    <col min="16" max="16" width="9.06640625" customWidth="1"/>
  </cols>
  <sheetData>
    <row r="1" spans="1:17" s="5" customFormat="1" ht="42.75" customHeight="1">
      <c r="A1" s="2" t="s">
        <v>41</v>
      </c>
      <c r="B1" s="2" t="s">
        <v>1</v>
      </c>
      <c r="C1" s="2" t="s">
        <v>2</v>
      </c>
      <c r="D1" s="5" t="s">
        <v>3</v>
      </c>
      <c r="E1" t="s">
        <v>4</v>
      </c>
      <c r="F1" s="5" t="s">
        <v>36</v>
      </c>
      <c r="H1" s="2" t="s">
        <v>41</v>
      </c>
      <c r="I1" s="2" t="s">
        <v>7</v>
      </c>
      <c r="J1" s="2" t="s">
        <v>8</v>
      </c>
      <c r="K1" s="2" t="s">
        <v>9</v>
      </c>
      <c r="L1" s="2" t="s">
        <v>10</v>
      </c>
      <c r="O1" s="40" t="s">
        <v>42</v>
      </c>
      <c r="P1" s="40" t="s">
        <v>41</v>
      </c>
      <c r="Q1" s="40" t="s">
        <v>43</v>
      </c>
    </row>
    <row r="2" spans="1:17">
      <c r="A2" s="7">
        <v>22.5</v>
      </c>
      <c r="B2">
        <v>200</v>
      </c>
      <c r="C2">
        <f>SUM($B$2:B2)</f>
        <v>200</v>
      </c>
      <c r="D2">
        <f t="shared" ref="D2:D22" si="0">SUMIFS($L$2:$L$7, $H$2:$H$7, "&gt;=" &amp; A2)</f>
        <v>6100</v>
      </c>
      <c r="E2">
        <f t="shared" ref="E2:E22" si="1">C2-D2</f>
        <v>-5900</v>
      </c>
      <c r="F2">
        <f t="shared" ref="F2:F23" si="2">IF(E2&lt;0,($I$12-A2)*B2*1000*$I$15,0)</f>
        <v>48000.000000000677</v>
      </c>
      <c r="H2" s="7">
        <f>H3+0.2</f>
        <v>23.499999999999996</v>
      </c>
      <c r="I2">
        <v>1000</v>
      </c>
      <c r="J2">
        <v>500</v>
      </c>
      <c r="K2">
        <v>500</v>
      </c>
      <c r="L2">
        <f t="shared" ref="L2:L7" si="3">IFERROR(I2+J2+K2,0)</f>
        <v>2000</v>
      </c>
      <c r="O2" s="41" t="s">
        <v>44</v>
      </c>
      <c r="P2" s="42">
        <f>MIN($A$2:$A$22)</f>
        <v>22.5</v>
      </c>
      <c r="Q2" s="43">
        <f>$I$13</f>
        <v>3300</v>
      </c>
    </row>
    <row r="3" spans="1:17">
      <c r="A3" s="7">
        <f>A2+0.1</f>
        <v>22.6</v>
      </c>
      <c r="B3">
        <v>300</v>
      </c>
      <c r="C3">
        <f>SUM($B$2:B3)</f>
        <v>500</v>
      </c>
      <c r="D3">
        <f t="shared" si="0"/>
        <v>6000</v>
      </c>
      <c r="E3">
        <f t="shared" si="1"/>
        <v>-5500</v>
      </c>
      <c r="F3">
        <f t="shared" si="2"/>
        <v>63000.000000000895</v>
      </c>
      <c r="H3" s="7">
        <f>H4+0.2</f>
        <v>23.299999999999997</v>
      </c>
      <c r="I3">
        <v>500</v>
      </c>
      <c r="J3">
        <v>500</v>
      </c>
      <c r="K3">
        <v>300</v>
      </c>
      <c r="L3">
        <f t="shared" si="3"/>
        <v>1300</v>
      </c>
      <c r="O3" s="41" t="s">
        <v>45</v>
      </c>
      <c r="P3" s="42">
        <f>MAX($A$2:$A$22)</f>
        <v>24.500000000000028</v>
      </c>
      <c r="Q3" s="43">
        <f>$I$13</f>
        <v>3300</v>
      </c>
    </row>
    <row r="4" spans="1:17">
      <c r="A4" s="7">
        <f t="shared" ref="A4:A22" si="4">A3+0.1</f>
        <v>22.700000000000003</v>
      </c>
      <c r="B4">
        <v>400</v>
      </c>
      <c r="C4">
        <f>SUM($B$2:B4)</f>
        <v>900</v>
      </c>
      <c r="D4">
        <f t="shared" si="0"/>
        <v>6000</v>
      </c>
      <c r="E4">
        <f t="shared" si="1"/>
        <v>-5100</v>
      </c>
      <c r="F4">
        <f t="shared" si="2"/>
        <v>72000.000000001019</v>
      </c>
      <c r="H4" s="7">
        <f>H5+0.2</f>
        <v>23.099999999999998</v>
      </c>
      <c r="I4">
        <v>400</v>
      </c>
      <c r="J4">
        <v>300</v>
      </c>
      <c r="K4">
        <v>200</v>
      </c>
      <c r="L4">
        <f t="shared" si="3"/>
        <v>900</v>
      </c>
      <c r="O4" s="41" t="s">
        <v>46</v>
      </c>
      <c r="P4" s="43">
        <f>$I$12</f>
        <v>23.300000000000011</v>
      </c>
      <c r="Q4" s="42">
        <f>MIN($C$2:$C$22)</f>
        <v>200</v>
      </c>
    </row>
    <row r="5" spans="1:17">
      <c r="A5" s="7">
        <f t="shared" si="4"/>
        <v>22.800000000000004</v>
      </c>
      <c r="B5">
        <v>600</v>
      </c>
      <c r="C5">
        <f>SUM($B$2:B5)</f>
        <v>1500</v>
      </c>
      <c r="D5">
        <f t="shared" si="0"/>
        <v>5100</v>
      </c>
      <c r="E5">
        <f t="shared" si="1"/>
        <v>-3600</v>
      </c>
      <c r="F5">
        <f t="shared" si="2"/>
        <v>90000.000000001266</v>
      </c>
      <c r="H5" s="7">
        <f>H6+0.2</f>
        <v>22.9</v>
      </c>
      <c r="I5">
        <v>400</v>
      </c>
      <c r="J5">
        <v>300</v>
      </c>
      <c r="K5">
        <v>200</v>
      </c>
      <c r="L5">
        <f t="shared" si="3"/>
        <v>900</v>
      </c>
      <c r="O5" s="41" t="s">
        <v>47</v>
      </c>
      <c r="P5" s="43">
        <f>$I$12</f>
        <v>23.300000000000011</v>
      </c>
      <c r="Q5" s="42">
        <f>MAX($C$2:$C$22)</f>
        <v>7000</v>
      </c>
    </row>
    <row r="6" spans="1:17">
      <c r="A6" s="7">
        <f t="shared" si="4"/>
        <v>22.900000000000006</v>
      </c>
      <c r="B6">
        <v>500</v>
      </c>
      <c r="C6">
        <f>SUM($B$2:B6)</f>
        <v>2000</v>
      </c>
      <c r="D6">
        <f t="shared" si="0"/>
        <v>5100</v>
      </c>
      <c r="E6">
        <f t="shared" si="1"/>
        <v>-3100</v>
      </c>
      <c r="F6">
        <f t="shared" si="2"/>
        <v>60000.000000000851</v>
      </c>
      <c r="G6" s="7">
        <f>MarketEquilibrium[[#This Row],[Price (₹/MT)]]-I12</f>
        <v>-0.40000000000000568</v>
      </c>
      <c r="H6" s="7">
        <f>H7+0.2</f>
        <v>22.7</v>
      </c>
      <c r="I6">
        <v>200</v>
      </c>
      <c r="J6">
        <v>300</v>
      </c>
      <c r="K6">
        <v>400</v>
      </c>
      <c r="L6">
        <f t="shared" si="3"/>
        <v>900</v>
      </c>
    </row>
    <row r="7" spans="1:17">
      <c r="A7" s="7">
        <f t="shared" si="4"/>
        <v>23.000000000000007</v>
      </c>
      <c r="B7">
        <v>300</v>
      </c>
      <c r="C7">
        <f>SUM($B$2:B7)</f>
        <v>2300</v>
      </c>
      <c r="D7">
        <f t="shared" si="0"/>
        <v>4200</v>
      </c>
      <c r="E7">
        <f t="shared" si="1"/>
        <v>-1900</v>
      </c>
      <c r="F7">
        <f t="shared" si="2"/>
        <v>27000.000000000382</v>
      </c>
      <c r="H7" s="7">
        <v>22.5</v>
      </c>
      <c r="I7">
        <v>100</v>
      </c>
      <c r="J7">
        <v>0</v>
      </c>
      <c r="K7">
        <v>0</v>
      </c>
      <c r="L7">
        <f t="shared" si="3"/>
        <v>100</v>
      </c>
    </row>
    <row r="8" spans="1:17">
      <c r="A8" s="7">
        <f t="shared" si="4"/>
        <v>23.100000000000009</v>
      </c>
      <c r="B8">
        <v>200</v>
      </c>
      <c r="C8">
        <f>SUM($B$2:B8)</f>
        <v>2500</v>
      </c>
      <c r="D8">
        <f t="shared" si="0"/>
        <v>4200</v>
      </c>
      <c r="E8">
        <f t="shared" si="1"/>
        <v>-1700</v>
      </c>
      <c r="F8">
        <f t="shared" si="2"/>
        <v>12000.000000000169</v>
      </c>
      <c r="I8">
        <f>SUM(I2:I7)</f>
        <v>2600</v>
      </c>
      <c r="J8">
        <f t="shared" ref="J8:K8" si="5">SUM(J2:J7)</f>
        <v>1900</v>
      </c>
      <c r="K8">
        <f t="shared" si="5"/>
        <v>1600</v>
      </c>
      <c r="L8">
        <f>SUM(L2:L7)</f>
        <v>6100</v>
      </c>
    </row>
    <row r="9" spans="1:17">
      <c r="A9" s="7">
        <f t="shared" si="4"/>
        <v>23.20000000000001</v>
      </c>
      <c r="B9">
        <v>600</v>
      </c>
      <c r="C9">
        <f>SUM($B$2:B9)</f>
        <v>3100</v>
      </c>
      <c r="D9">
        <f t="shared" si="0"/>
        <v>3300</v>
      </c>
      <c r="E9">
        <f t="shared" si="1"/>
        <v>-200</v>
      </c>
      <c r="F9">
        <f t="shared" si="2"/>
        <v>18000.000000000255</v>
      </c>
    </row>
    <row r="10" spans="1:17">
      <c r="A10" s="7">
        <f t="shared" si="4"/>
        <v>23.300000000000011</v>
      </c>
      <c r="B10">
        <v>200</v>
      </c>
      <c r="C10">
        <f>SUM($B$2:B10)</f>
        <v>3300</v>
      </c>
      <c r="D10">
        <f t="shared" si="0"/>
        <v>3300</v>
      </c>
      <c r="E10">
        <f t="shared" si="1"/>
        <v>0</v>
      </c>
      <c r="F10">
        <f t="shared" si="2"/>
        <v>0</v>
      </c>
      <c r="H10" t="s">
        <v>19</v>
      </c>
      <c r="I10" s="5"/>
    </row>
    <row r="11" spans="1:17">
      <c r="A11" s="7">
        <f t="shared" si="4"/>
        <v>23.400000000000013</v>
      </c>
      <c r="B11">
        <v>300</v>
      </c>
      <c r="C11">
        <f>SUM($B$2:B11)</f>
        <v>3600</v>
      </c>
      <c r="D11">
        <f t="shared" si="0"/>
        <v>2000</v>
      </c>
      <c r="E11">
        <f t="shared" si="1"/>
        <v>1600</v>
      </c>
      <c r="F11">
        <f t="shared" si="2"/>
        <v>0</v>
      </c>
      <c r="H11" t="s">
        <v>21</v>
      </c>
      <c r="I11">
        <f>IF(MAX($H$2:$H$7) &lt; MIN($A$2:$A$22), "NO_CROSS",
    MATCH(TRUE,INDEX(E2:E22&gt;=0,0),0)+1 )</f>
        <v>10</v>
      </c>
    </row>
    <row r="12" spans="1:17">
      <c r="A12" s="7">
        <f t="shared" si="4"/>
        <v>23.500000000000014</v>
      </c>
      <c r="B12">
        <v>400</v>
      </c>
      <c r="C12">
        <f>SUM($B$2:B12)</f>
        <v>4000</v>
      </c>
      <c r="D12">
        <f t="shared" si="0"/>
        <v>2000</v>
      </c>
      <c r="E12">
        <f t="shared" si="1"/>
        <v>2000</v>
      </c>
      <c r="F12">
        <f t="shared" si="2"/>
        <v>0</v>
      </c>
      <c r="H12" t="s">
        <v>48</v>
      </c>
      <c r="I12" s="7">
        <f>IF(I11="NO_CROSS","",
INDEX(A:A,I11-1)+((INDEX(A:A,I11)-INDEX(A:A,I11-1))*((0-INDEX(E:E,I11-1))/(INDEX(E:E,I11)-INDEX(E:E,I11-1)))))</f>
        <v>23.300000000000011</v>
      </c>
    </row>
    <row r="13" spans="1:17">
      <c r="A13" s="7">
        <f t="shared" si="4"/>
        <v>23.600000000000016</v>
      </c>
      <c r="B13">
        <v>300</v>
      </c>
      <c r="C13">
        <f>SUM($B$2:B13)</f>
        <v>4300</v>
      </c>
      <c r="D13">
        <f t="shared" si="0"/>
        <v>0</v>
      </c>
      <c r="E13">
        <f t="shared" si="1"/>
        <v>4300</v>
      </c>
      <c r="F13">
        <f t="shared" si="2"/>
        <v>0</v>
      </c>
      <c r="H13" t="s">
        <v>23</v>
      </c>
      <c r="I13" s="12">
        <f>IF(I11="NO_CROSS","",
INDEX(C:C,I11-1)+((INDEX(C:C,I11)-INDEX(C:C,I11-1))*((I12-INDEX(A:A,I11-1))/(INDEX(A:A,I11)-INDEX(A:A,I11-1)))))</f>
        <v>3300</v>
      </c>
      <c r="K13" t="s">
        <v>49</v>
      </c>
    </row>
    <row r="14" spans="1:17">
      <c r="A14" s="7">
        <f t="shared" si="4"/>
        <v>23.700000000000017</v>
      </c>
      <c r="B14">
        <v>200</v>
      </c>
      <c r="C14">
        <f>SUM($B$2:B14)</f>
        <v>4500</v>
      </c>
      <c r="D14">
        <f t="shared" si="0"/>
        <v>0</v>
      </c>
      <c r="E14">
        <f t="shared" si="1"/>
        <v>4500</v>
      </c>
      <c r="F14">
        <f t="shared" si="2"/>
        <v>0</v>
      </c>
    </row>
    <row r="15" spans="1:17">
      <c r="A15" s="7">
        <f t="shared" si="4"/>
        <v>23.800000000000018</v>
      </c>
      <c r="B15">
        <v>500</v>
      </c>
      <c r="C15">
        <f>SUM($B$2:B15)</f>
        <v>5000</v>
      </c>
      <c r="D15">
        <f t="shared" si="0"/>
        <v>0</v>
      </c>
      <c r="E15">
        <f t="shared" si="1"/>
        <v>5000</v>
      </c>
      <c r="F15">
        <f t="shared" si="2"/>
        <v>0</v>
      </c>
      <c r="H15" t="s">
        <v>27</v>
      </c>
      <c r="I15" s="17">
        <v>0.3</v>
      </c>
      <c r="J15" t="s">
        <v>50</v>
      </c>
      <c r="K15" s="7">
        <f>A8</f>
        <v>23.100000000000009</v>
      </c>
    </row>
    <row r="16" spans="1:17">
      <c r="A16" s="7">
        <f t="shared" si="4"/>
        <v>23.90000000000002</v>
      </c>
      <c r="B16">
        <v>600</v>
      </c>
      <c r="C16">
        <f>SUM($B$2:B16)</f>
        <v>5600</v>
      </c>
      <c r="D16">
        <f t="shared" si="0"/>
        <v>0</v>
      </c>
      <c r="E16">
        <f t="shared" si="1"/>
        <v>5600</v>
      </c>
      <c r="F16">
        <f t="shared" si="2"/>
        <v>0</v>
      </c>
      <c r="J16" t="s">
        <v>51</v>
      </c>
      <c r="K16" s="7">
        <f>(0-E8)/(E9-E8)*(A9-A8)</f>
        <v>0.11333333333333494</v>
      </c>
    </row>
    <row r="17" spans="1:12">
      <c r="A17" s="7">
        <f t="shared" si="4"/>
        <v>24.000000000000021</v>
      </c>
      <c r="B17">
        <v>400</v>
      </c>
      <c r="C17">
        <f>SUM($B$2:B17)</f>
        <v>6000</v>
      </c>
      <c r="D17">
        <f t="shared" si="0"/>
        <v>0</v>
      </c>
      <c r="E17">
        <f t="shared" si="1"/>
        <v>6000</v>
      </c>
      <c r="F17">
        <f t="shared" si="2"/>
        <v>0</v>
      </c>
      <c r="K17" s="7">
        <f>K15+K16</f>
        <v>23.213333333333342</v>
      </c>
    </row>
    <row r="18" spans="1:12">
      <c r="A18" s="7">
        <f t="shared" si="4"/>
        <v>24.100000000000023</v>
      </c>
      <c r="B18">
        <v>300</v>
      </c>
      <c r="C18">
        <f>SUM($B$2:B18)</f>
        <v>6300</v>
      </c>
      <c r="D18">
        <f t="shared" si="0"/>
        <v>0</v>
      </c>
      <c r="E18">
        <f t="shared" si="1"/>
        <v>6300</v>
      </c>
      <c r="F18">
        <f t="shared" si="2"/>
        <v>0</v>
      </c>
      <c r="L18">
        <f>600/1500</f>
        <v>0.4</v>
      </c>
    </row>
    <row r="19" spans="1:12">
      <c r="A19" s="7">
        <f t="shared" si="4"/>
        <v>24.200000000000024</v>
      </c>
      <c r="B19">
        <v>200</v>
      </c>
      <c r="C19">
        <f>SUM($B$2:B19)</f>
        <v>6500</v>
      </c>
      <c r="D19">
        <f t="shared" si="0"/>
        <v>0</v>
      </c>
      <c r="E19">
        <f t="shared" si="1"/>
        <v>6500</v>
      </c>
      <c r="F19">
        <f t="shared" si="2"/>
        <v>0</v>
      </c>
    </row>
    <row r="20" spans="1:12">
      <c r="A20" s="7">
        <f t="shared" si="4"/>
        <v>24.300000000000026</v>
      </c>
      <c r="B20">
        <v>100</v>
      </c>
      <c r="C20">
        <f>SUM($B$2:B20)</f>
        <v>6600</v>
      </c>
      <c r="D20">
        <f t="shared" si="0"/>
        <v>0</v>
      </c>
      <c r="E20">
        <f t="shared" si="1"/>
        <v>6600</v>
      </c>
      <c r="F20">
        <f t="shared" si="2"/>
        <v>0</v>
      </c>
      <c r="J20" t="s">
        <v>52</v>
      </c>
    </row>
    <row r="21" spans="1:12">
      <c r="A21" s="7">
        <f t="shared" si="4"/>
        <v>24.400000000000027</v>
      </c>
      <c r="B21">
        <v>200</v>
      </c>
      <c r="C21">
        <f>SUM($B$2:B21)</f>
        <v>6800</v>
      </c>
      <c r="D21">
        <f t="shared" si="0"/>
        <v>0</v>
      </c>
      <c r="E21">
        <f t="shared" si="1"/>
        <v>6800</v>
      </c>
      <c r="F21">
        <f t="shared" si="2"/>
        <v>0</v>
      </c>
    </row>
    <row r="22" spans="1:12">
      <c r="A22" s="7">
        <f t="shared" si="4"/>
        <v>24.500000000000028</v>
      </c>
      <c r="B22">
        <v>200</v>
      </c>
      <c r="C22">
        <f>SUM($B$2:B22)</f>
        <v>7000</v>
      </c>
      <c r="D22">
        <f t="shared" si="0"/>
        <v>0</v>
      </c>
      <c r="E22">
        <f t="shared" si="1"/>
        <v>7000</v>
      </c>
      <c r="F22">
        <f t="shared" si="2"/>
        <v>0</v>
      </c>
    </row>
    <row r="23" spans="1:12">
      <c r="A23" t="s">
        <v>13</v>
      </c>
      <c r="F23">
        <f t="shared" si="2"/>
        <v>0</v>
      </c>
    </row>
    <row r="25" spans="1:12">
      <c r="G25" s="7">
        <f>(I12-A3)*1000</f>
        <v>700.00000000001</v>
      </c>
    </row>
    <row r="26" spans="1:12">
      <c r="H26" s="5"/>
      <c r="I26" s="5"/>
      <c r="J26" s="5"/>
      <c r="K26" s="5"/>
      <c r="L26" s="5"/>
    </row>
    <row r="27" spans="1:12" s="5" customFormat="1" ht="42.75" customHeight="1">
      <c r="A27"/>
      <c r="B27"/>
      <c r="C27"/>
      <c r="D27"/>
      <c r="E27"/>
      <c r="H27"/>
      <c r="I27"/>
      <c r="J27"/>
      <c r="K27"/>
      <c r="L27"/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HPCL</vt:lpstr>
      <vt:lpstr>Rice Millers</vt:lpstr>
      <vt:lpstr>Supply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shreethan munjala</dc:creator>
  <cp:lastModifiedBy>shreethan munjala</cp:lastModifiedBy>
  <dcterms:created xsi:type="dcterms:W3CDTF">2026-01-10T10:43:28Z</dcterms:created>
  <dcterms:modified xsi:type="dcterms:W3CDTF">2026-01-26T12:44:38Z</dcterms:modified>
</cp:coreProperties>
</file>